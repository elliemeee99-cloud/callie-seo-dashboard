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 activeTab="2"/>
  </bookViews>
  <sheets>
    <sheet name="2025年销售额数据" sheetId="1" state="hidden" r:id="rId1"/>
    <sheet name="销售额月度数据汇总" sheetId="2" state="hidden" r:id="rId2"/>
    <sheet name="SEO销售额汇总" sheetId="4" r:id="rId3"/>
    <sheet name="SEO月度流量数据汇总" sheetId="12" r:id="rId4"/>
    <sheet name="SEO GSC月度点击数据汇总" sheetId="5" r:id="rId5"/>
    <sheet name="EN站 SEO销售额数据" sheetId="10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<sst xmlns="http://schemas.openxmlformats.org/spreadsheetml/2006/main" count="383" uniqueCount="83">
  <si>
    <t>站点</t>
  </si>
  <si>
    <t>中端转化率
（月度变量值）</t>
  </si>
  <si>
    <t>SEO品牌词销售额</t>
  </si>
  <si>
    <t>SEO品牌词销售额占比</t>
  </si>
  <si>
    <t>非品牌词销售额数据</t>
  </si>
  <si>
    <t>广告投放数据</t>
  </si>
  <si>
    <t>SEO数据</t>
  </si>
  <si>
    <t>网站总数据</t>
  </si>
  <si>
    <t>SEO销售额占比</t>
  </si>
  <si>
    <t>SEO非品牌词销售额占比</t>
  </si>
  <si>
    <t>点击次数</t>
  </si>
  <si>
    <t>展示次数</t>
  </si>
  <si>
    <t>转化次数</t>
  </si>
  <si>
    <t>转化率</t>
  </si>
  <si>
    <t>转化价值</t>
  </si>
  <si>
    <t>客单价</t>
  </si>
  <si>
    <t>SEO品牌词点击次数</t>
  </si>
  <si>
    <t>SEO关键词总点击</t>
  </si>
  <si>
    <t>SEO总销售额</t>
  </si>
  <si>
    <t>SEO转化率</t>
  </si>
  <si>
    <t>1-2月份主要数据来源于GA4
从3月份开始用superset的数据</t>
  </si>
  <si>
    <t>Callie-DE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</si>
  <si>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</si>
  <si>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</si>
  <si>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</si>
  <si>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</si>
  <si>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</si>
  <si>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</si>
  <si>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</si>
  <si>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</si>
  <si>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</si>
  <si>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</si>
  <si>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</si>
  <si>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</si>
  <si>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Callie-FR</t>
  </si>
  <si>
    <t>Callie-ES</t>
  </si>
  <si>
    <t>Callie-IT</t>
  </si>
  <si>
    <t>Callie-NL</t>
  </si>
  <si>
    <t>Callie-NO</t>
  </si>
  <si>
    <t>Callie-SE</t>
  </si>
  <si>
    <t>Callie-FI</t>
  </si>
  <si>
    <t>数据来源说明：
1. 广告投放数据来源是Google广告品牌投放数据
2. SEO数据来源：点击次数（GSC）、销售额转化等数据（GA4）
3. 中端转化率计算公式=SEO转化率+(品牌词广告转化率-SEO转化率)/2
4. SEO品牌词销售额=SEO品牌词点击次数*中端转化率变量*SEO客单价</t>
  </si>
  <si>
    <t>非品牌词SEO销售额</t>
  </si>
  <si>
    <t>总计</t>
  </si>
  <si>
    <t>涨（降）幅</t>
  </si>
  <si>
    <t>DE</t>
  </si>
  <si>
    <t>FR</t>
  </si>
  <si>
    <t>ES</t>
  </si>
  <si>
    <t>IT</t>
  </si>
  <si>
    <t>NL</t>
  </si>
  <si>
    <t>NO</t>
  </si>
  <si>
    <t>SE</t>
  </si>
  <si>
    <t>FI</t>
  </si>
  <si>
    <t>网站总销售额</t>
  </si>
  <si>
    <t>占比</t>
  </si>
  <si>
    <t>PL</t>
  </si>
  <si>
    <t>ALL SEO销售额</t>
  </si>
  <si>
    <t>SEO 月度总流量数据</t>
  </si>
  <si>
    <t>SEO 月度站内流量数据</t>
  </si>
  <si>
    <t>SEO 月度Blog流量数据</t>
  </si>
  <si>
    <t>总点击</t>
  </si>
  <si>
    <t>品牌词点击</t>
  </si>
  <si>
    <t>Blog点击</t>
  </si>
  <si>
    <t>utm点击</t>
  </si>
  <si>
    <t>站内点击</t>
  </si>
  <si>
    <t>非品牌词点击</t>
  </si>
  <si>
    <t>Q1</t>
  </si>
  <si>
    <t>Q2</t>
  </si>
  <si>
    <t>Q3</t>
  </si>
  <si>
    <t>Q4</t>
  </si>
  <si>
    <t>Q4对比Q3</t>
  </si>
  <si>
    <t>所有点击</t>
  </si>
  <si>
    <t>blog点击</t>
  </si>
  <si>
    <t>EN 2024</t>
  </si>
  <si>
    <t>Organic Search</t>
  </si>
  <si>
    <t>Organic Social</t>
  </si>
  <si>
    <t>Organic Shopping</t>
  </si>
  <si>
    <t>Organic Video</t>
  </si>
  <si>
    <t>网站销售额</t>
  </si>
  <si>
    <t>所有Organic总占比</t>
  </si>
  <si>
    <t>Unassigned</t>
  </si>
  <si>
    <t>EN 2023</t>
  </si>
  <si>
    <t>EN 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</si>
</sst>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41">
    <font>
      <sz val="12"/>
      <color theme="1"/>
      <name val="等线"/>
      <charset val="134"/>
      <scheme val="minor"/>
    </font>
    <font>
      <b/>
      <sz val="14"/>
      <name val="微软雅黑"/>
      <charset val="134"/>
    </font>
    <font>
      <sz val="11"/>
      <name val="微软雅黑"/>
      <charset val="134"/>
    </font>
    <font>
      <sz val="11"/>
      <name val="宋体"/>
      <charset val="134"/>
    </font>
    <font>
      <sz val="11"/>
      <name val="Microsoft YaHei"/>
      <charset val="134"/>
    </font>
    <font>
      <sz val="10"/>
      <color theme="1"/>
      <name val="等线"/>
      <charset val="134"/>
      <scheme val="minor"/>
    </font>
    <font>
      <sz val="11"/>
      <name val="Times New Roman"/>
      <charset val="134"/>
    </font>
    <font>
      <sz val="12"/>
      <name val="Microsoft YaHei"/>
      <charset val="134"/>
    </font>
    <font>
      <sz val="11"/>
      <color theme="1"/>
      <name val="微软雅黑"/>
      <charset val="134"/>
    </font>
    <font>
      <sz val="12"/>
      <color rgb="FF7F7F7F"/>
      <name val="Microsoft YaHei"/>
      <charset val="134"/>
    </font>
    <font>
      <b/>
      <sz val="10"/>
      <name val="等线"/>
      <charset val="134"/>
      <scheme val="minor"/>
    </font>
    <font>
      <sz val="10"/>
      <name val="等线"/>
      <charset val="134"/>
      <scheme val="minor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宋体"/>
      <charset val="134"/>
    </font>
    <font>
      <sz val="12"/>
      <name val="等线"/>
      <charset val="134"/>
      <scheme val="minor"/>
    </font>
    <font>
      <b/>
      <sz val="12"/>
      <name val="Times New Roman"/>
      <charset val="134"/>
    </font>
    <font>
      <b/>
      <sz val="11"/>
      <name val="微软雅黑"/>
      <charset val="134"/>
    </font>
    <font>
      <b/>
      <sz val="11"/>
      <name val="宋体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04B0F1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4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5" borderId="10" applyNumberFormat="0" applyAlignment="0" applyProtection="0">
      <alignment vertical="center"/>
    </xf>
    <xf numFmtId="0" fontId="31" fillId="16" borderId="11" applyNumberFormat="0" applyAlignment="0" applyProtection="0">
      <alignment vertical="center"/>
    </xf>
    <xf numFmtId="0" fontId="32" fillId="16" borderId="10" applyNumberFormat="0" applyAlignment="0" applyProtection="0">
      <alignment vertical="center"/>
    </xf>
    <xf numFmtId="0" fontId="33" fillId="17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176" fontId="2" fillId="0" borderId="1" xfId="0" applyNumberFormat="1" applyFont="1" applyBorder="1" applyAlignment="1" applyProtection="1">
      <alignment horizontal="center" vertical="center"/>
    </xf>
    <xf numFmtId="10" fontId="2" fillId="0" borderId="1" xfId="0" applyNumberFormat="1" applyFont="1" applyBorder="1" applyAlignment="1" applyProtection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</xf>
    <xf numFmtId="176" fontId="2" fillId="6" borderId="1" xfId="0" applyNumberFormat="1" applyFont="1" applyFill="1" applyBorder="1" applyAlignment="1" applyProtection="1">
      <alignment horizontal="center" vertical="center"/>
    </xf>
    <xf numFmtId="10" fontId="2" fillId="6" borderId="1" xfId="0" applyNumberFormat="1" applyFont="1" applyFill="1" applyBorder="1" applyAlignment="1" applyProtection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0" fontId="4" fillId="7" borderId="2" xfId="0" applyFont="1" applyFill="1" applyBorder="1" applyAlignment="1" applyProtection="1">
      <alignment horizontal="center" vertical="center" wrapText="1"/>
    </xf>
    <xf numFmtId="57" fontId="4" fillId="0" borderId="1" xfId="0" applyNumberFormat="1" applyFont="1" applyBorder="1" applyAlignment="1" applyProtection="1">
      <alignment horizontal="center" vertical="center"/>
    </xf>
    <xf numFmtId="0" fontId="4" fillId="7" borderId="2" xfId="0" applyFont="1" applyFill="1" applyBorder="1" applyAlignment="1" applyProtection="1">
      <alignment horizontal="center" vertical="center"/>
    </xf>
    <xf numFmtId="57" fontId="2" fillId="0" borderId="1" xfId="0" applyNumberFormat="1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 applyAlignment="1" applyProtection="1">
      <alignment horizontal="center" vertical="center"/>
    </xf>
    <xf numFmtId="10" fontId="6" fillId="0" borderId="1" xfId="0" applyNumberFormat="1" applyFont="1" applyBorder="1" applyAlignment="1" applyProtection="1">
      <alignment horizontal="center" vertical="center"/>
    </xf>
    <xf numFmtId="0" fontId="2" fillId="4" borderId="1" xfId="0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 applyProtection="1">
      <alignment horizontal="center" vertical="center"/>
    </xf>
    <xf numFmtId="0" fontId="7" fillId="8" borderId="1" xfId="0" applyFont="1" applyFill="1" applyBorder="1" applyAlignment="1" applyProtection="1">
      <alignment horizontal="left" vertical="center" wrapText="1"/>
    </xf>
    <xf numFmtId="0" fontId="7" fillId="8" borderId="1" xfId="0" applyFont="1" applyFill="1" applyBorder="1" applyAlignment="1" applyProtection="1">
      <alignment horizontal="center" vertical="center"/>
    </xf>
    <xf numFmtId="57" fontId="7" fillId="0" borderId="1" xfId="0" applyNumberFormat="1" applyFont="1" applyBorder="1" applyAlignment="1" applyProtection="1">
      <alignment horizontal="left" vertical="center"/>
    </xf>
    <xf numFmtId="176" fontId="7" fillId="0" borderId="1" xfId="0" applyNumberFormat="1" applyFont="1" applyBorder="1" applyAlignment="1" applyProtection="1">
      <alignment horizontal="center" vertical="center"/>
    </xf>
    <xf numFmtId="176" fontId="8" fillId="0" borderId="1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7" fillId="8" borderId="1" xfId="0" applyFont="1" applyFill="1" applyBorder="1" applyAlignment="1" applyProtection="1">
      <alignment horizontal="center" vertical="center" wrapText="1"/>
    </xf>
    <xf numFmtId="176" fontId="9" fillId="0" borderId="1" xfId="0" applyNumberFormat="1" applyFont="1" applyBorder="1" applyAlignment="1" applyProtection="1">
      <alignment horizontal="center" vertical="center"/>
    </xf>
    <xf numFmtId="10" fontId="7" fillId="0" borderId="1" xfId="0" applyNumberFormat="1" applyFont="1" applyBorder="1" applyAlignment="1" applyProtection="1">
      <alignment horizontal="center" vertical="center"/>
    </xf>
    <xf numFmtId="10" fontId="9" fillId="0" borderId="1" xfId="0" applyNumberFormat="1" applyFont="1" applyBorder="1" applyAlignment="1" applyProtection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9" borderId="4" xfId="0" applyFont="1" applyFill="1" applyBorder="1" applyAlignment="1" applyProtection="1">
      <alignment horizontal="center" vertical="center"/>
    </xf>
    <xf numFmtId="0" fontId="13" fillId="9" borderId="4" xfId="0" applyFont="1" applyFill="1" applyBorder="1" applyAlignment="1" applyProtection="1">
      <alignment horizontal="center" vertical="center" wrapText="1"/>
    </xf>
    <xf numFmtId="0" fontId="12" fillId="4" borderId="4" xfId="0" applyFont="1" applyFill="1" applyBorder="1" applyAlignment="1" applyProtection="1">
      <alignment horizontal="center" vertical="center" wrapText="1"/>
    </xf>
    <xf numFmtId="0" fontId="12" fillId="3" borderId="4" xfId="0" applyFont="1" applyFill="1" applyBorder="1" applyAlignment="1" applyProtection="1">
      <alignment horizontal="center" vertical="center" wrapText="1"/>
    </xf>
    <xf numFmtId="0" fontId="14" fillId="0" borderId="0" xfId="0" applyFont="1">
      <alignment vertical="center"/>
    </xf>
    <xf numFmtId="0" fontId="12" fillId="10" borderId="1" xfId="0" applyFont="1" applyFill="1" applyBorder="1" applyAlignment="1" applyProtection="1">
      <alignment horizontal="center" vertical="center"/>
    </xf>
    <xf numFmtId="0" fontId="15" fillId="0" borderId="0" xfId="0" applyFont="1">
      <alignment vertical="center"/>
    </xf>
    <xf numFmtId="0" fontId="16" fillId="11" borderId="1" xfId="0" applyFont="1" applyFill="1" applyBorder="1" applyAlignment="1" applyProtection="1">
      <alignment horizontal="center" vertical="center" wrapText="1"/>
    </xf>
    <xf numFmtId="0" fontId="16" fillId="12" borderId="4" xfId="0" applyFont="1" applyFill="1" applyBorder="1" applyAlignment="1" applyProtection="1">
      <alignment horizontal="center" vertical="center" wrapText="1"/>
    </xf>
    <xf numFmtId="0" fontId="11" fillId="0" borderId="5" xfId="0" applyFont="1" applyBorder="1" applyProtection="1">
      <alignment vertical="center"/>
    </xf>
    <xf numFmtId="0" fontId="11" fillId="0" borderId="6" xfId="0" applyFont="1" applyBorder="1" applyProtection="1">
      <alignment vertical="center"/>
    </xf>
    <xf numFmtId="0" fontId="5" fillId="0" borderId="0" xfId="0" applyFont="1" applyAlignment="1">
      <alignment vertical="center" wrapText="1"/>
    </xf>
    <xf numFmtId="0" fontId="17" fillId="9" borderId="1" xfId="0" applyFont="1" applyFill="1" applyBorder="1" applyAlignment="1" applyProtection="1">
      <alignment horizontal="left" vertical="center"/>
    </xf>
    <xf numFmtId="10" fontId="17" fillId="0" borderId="1" xfId="0" applyNumberFormat="1" applyFont="1" applyBorder="1" applyAlignment="1" applyProtection="1">
      <alignment horizontal="center" vertical="center"/>
    </xf>
    <xf numFmtId="176" fontId="17" fillId="0" borderId="1" xfId="0" applyNumberFormat="1" applyFont="1" applyBorder="1" applyAlignment="1" applyProtection="1">
      <alignment horizontal="center" vertical="center"/>
    </xf>
    <xf numFmtId="10" fontId="17" fillId="4" borderId="1" xfId="0" applyNumberFormat="1" applyFont="1" applyFill="1" applyBorder="1" applyAlignment="1" applyProtection="1">
      <alignment horizontal="center" vertical="center"/>
    </xf>
    <xf numFmtId="176" fontId="17" fillId="3" borderId="1" xfId="0" applyNumberFormat="1" applyFont="1" applyFill="1" applyBorder="1" applyAlignment="1" applyProtection="1">
      <alignment horizontal="center" vertical="center"/>
    </xf>
    <xf numFmtId="0" fontId="18" fillId="0" borderId="0" xfId="0" applyFont="1">
      <alignment vertical="center"/>
    </xf>
    <xf numFmtId="0" fontId="17" fillId="0" borderId="1" xfId="0" applyFont="1" applyBorder="1" applyAlignment="1" applyProtection="1">
      <alignment horizontal="center" vertical="center"/>
    </xf>
    <xf numFmtId="10" fontId="19" fillId="0" borderId="1" xfId="0" applyNumberFormat="1" applyFont="1" applyBorder="1" applyAlignment="1" applyProtection="1">
      <alignment horizontal="center" vertical="center"/>
    </xf>
    <xf numFmtId="176" fontId="17" fillId="0" borderId="3" xfId="0" applyNumberFormat="1" applyFont="1" applyBorder="1" applyAlignment="1" applyProtection="1">
      <alignment horizontal="center" vertical="center"/>
    </xf>
    <xf numFmtId="0" fontId="2" fillId="13" borderId="1" xfId="0" applyFont="1" applyFill="1" applyBorder="1" applyAlignment="1" applyProtection="1">
      <alignment horizontal="left" vertical="center"/>
    </xf>
    <xf numFmtId="10" fontId="2" fillId="4" borderId="1" xfId="0" applyNumberFormat="1" applyFont="1" applyFill="1" applyBorder="1" applyAlignment="1" applyProtection="1">
      <alignment horizontal="center" vertical="center"/>
    </xf>
    <xf numFmtId="176" fontId="2" fillId="3" borderId="1" xfId="0" applyNumberFormat="1" applyFont="1" applyFill="1" applyBorder="1" applyAlignment="1" applyProtection="1">
      <alignment horizontal="center" vertical="center"/>
    </xf>
    <xf numFmtId="10" fontId="20" fillId="0" borderId="1" xfId="0" applyNumberFormat="1" applyFont="1" applyBorder="1" applyAlignment="1" applyProtection="1">
      <alignment horizontal="center" vertical="center"/>
    </xf>
    <xf numFmtId="176" fontId="11" fillId="0" borderId="0" xfId="0" applyNumberFormat="1" applyFont="1">
      <alignment vertical="center"/>
    </xf>
    <xf numFmtId="0" fontId="17" fillId="13" borderId="1" xfId="0" applyFont="1" applyFill="1" applyBorder="1" applyAlignment="1" applyProtection="1">
      <alignment horizontal="left" vertical="center"/>
    </xf>
    <xf numFmtId="0" fontId="11" fillId="9" borderId="0" xfId="0" applyFont="1" applyFill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225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A2"/>
    </sheetView>
  </sheetViews>
  <sheetFormatPr defaultColWidth="10" defaultRowHeight="16.5" customHeight="1"/>
  <cols>
    <col min="2" max="2" width="13.5" customWidth="1"/>
    <col min="3" max="3" width="12.125" customWidth="1"/>
    <col min="4" max="4" width="9.875" customWidth="1"/>
    <col min="5" max="5" width="11.5" customWidth="1"/>
    <col min="6" max="6" width="2.25" customWidth="1"/>
    <col min="8" max="8" width="13.75" customWidth="1"/>
    <col min="9" max="9" width="12.75" customWidth="1"/>
    <col min="10" max="10" width="14.625" customWidth="1"/>
    <col min="11" max="11" width="12.25" customWidth="1"/>
    <col min="13" max="13" width="1.625" customWidth="1"/>
    <col min="16" max="16" width="12" customWidth="1"/>
    <col min="20" max="20" width="13.625" customWidth="1"/>
    <col min="21" max="22" width="11.125" customWidth="1"/>
  </cols>
  <sheetData>
    <row r="1" ht="24" customHeight="1" spans="1:24">
      <c r="A1" s="35" t="s">
        <v>0</v>
      </c>
      <c r="B1" s="36" t="s">
        <v>1</v>
      </c>
      <c r="C1" s="36" t="s">
        <v>2</v>
      </c>
      <c r="D1" s="37" t="s">
        <v>3</v>
      </c>
      <c r="E1" s="38" t="s">
        <v>4</v>
      </c>
      <c r="F1" s="39"/>
      <c r="G1" s="40" t="s">
        <v>5</v>
      </c>
      <c r="H1" s="41"/>
      <c r="I1" s="41"/>
      <c r="J1" s="41"/>
      <c r="K1" s="41"/>
      <c r="L1" s="41"/>
      <c r="M1" s="39"/>
      <c r="N1" s="42" t="s">
        <v>6</v>
      </c>
      <c r="O1" s="41"/>
      <c r="P1" s="41"/>
      <c r="Q1" s="41"/>
      <c r="R1" s="41"/>
      <c r="S1" s="41"/>
      <c r="T1" s="43" t="s">
        <v>7</v>
      </c>
      <c r="U1" s="43" t="s">
        <v>8</v>
      </c>
      <c r="V1" s="43" t="s">
        <v>9</v>
      </c>
    </row>
    <row r="2" ht="45.75" customHeight="1" spans="1:24">
      <c r="A2" s="41"/>
      <c r="B2" s="41"/>
      <c r="C2" s="41"/>
      <c r="D2" s="41"/>
      <c r="E2" s="41"/>
      <c r="F2" s="39"/>
      <c r="G2" s="40" t="s">
        <v>10</v>
      </c>
      <c r="H2" s="40" t="s">
        <v>11</v>
      </c>
      <c r="I2" s="40" t="s">
        <v>12</v>
      </c>
      <c r="J2" s="40" t="s">
        <v>13</v>
      </c>
      <c r="K2" s="40" t="s">
        <v>14</v>
      </c>
      <c r="L2" s="40" t="s">
        <v>15</v>
      </c>
      <c r="M2" s="39"/>
      <c r="N2" s="42" t="s">
        <v>16</v>
      </c>
      <c r="O2" s="42" t="s">
        <v>17</v>
      </c>
      <c r="P2" s="42" t="s">
        <v>18</v>
      </c>
      <c r="Q2" s="42" t="s">
        <v>12</v>
      </c>
      <c r="R2" s="42" t="s">
        <v>19</v>
      </c>
      <c r="S2" s="42" t="s">
        <v>15</v>
      </c>
      <c r="T2" s="44"/>
      <c r="U2" s="45"/>
      <c r="V2" s="45"/>
      <c r="W2" s="46" t="s">
        <v>20</v>
      </c>
    </row>
    <row r="3" s="33" customFormat="1" ht="17.25" customHeight="1" spans="1:24">
      <c r="A3" s="47" t="s">
        <v>21</v>
      </c>
      <c r="B3" s="48">
        <f t="shared" ref="B3:B66" si="0">R3+(J3-R3)/2</f>
        <v>0.060075780614398</v>
      </c>
      <c r="C3" s="49">
        <f>C4</f>
        <v>2130.09679208676</v>
      </c>
      <c r="D3" s="50">
        <f t="shared" ref="D3:D66" si="1">C3/P3</f>
        <v>0.0202043466973489</v>
      </c>
      <c r="E3" s="51">
        <f t="shared" ref="E3:E66" si="2">P3-C3</f>
        <v>103297.553207913</v>
      </c>
      <c r="F3" s="52"/>
      <c r="G3" s="53">
        <f>SUM(G4:G15)</f>
        <v>65494</v>
      </c>
      <c r="H3" s="53">
        <f>SUM(H4:H15)</f>
        <v>234237</v>
      </c>
      <c r="I3" s="53">
        <f>SUM(I4:I15)</f>
        <v>6994.45</v>
      </c>
      <c r="J3" s="54">
        <f t="shared" ref="J3:J66" si="3">I3/G3</f>
        <v>0.106795278956851</v>
      </c>
      <c r="K3" s="55">
        <f>SUM(K4:K15)</f>
        <v>290589.15</v>
      </c>
      <c r="L3" s="49">
        <f t="shared" ref="L3:L66" si="4">K3/I3</f>
        <v>41.5456754998606</v>
      </c>
      <c r="M3" s="52"/>
      <c r="N3" s="53">
        <f>SUM(N4:N15)</f>
        <v>11468</v>
      </c>
      <c r="O3" s="53">
        <f>SUM(O4:O15)</f>
        <v>174300</v>
      </c>
      <c r="P3" s="55">
        <f>SUM(P4:P15)</f>
        <v>105427.65</v>
      </c>
      <c r="Q3" s="53">
        <f>SUM(Q4:Q15)</f>
        <v>2328</v>
      </c>
      <c r="R3" s="48">
        <f t="shared" ref="R3:R66" si="5">Q3/O3</f>
        <v>0.0133562822719449</v>
      </c>
      <c r="S3" s="49">
        <f t="shared" ref="S3:S66" si="6">P3/Q3</f>
        <v>45.2867912371134</v>
      </c>
      <c r="T3" s="49">
        <f>SUM(T4:T15)</f>
        <v>7825079.69</v>
      </c>
      <c r="U3" s="48">
        <f t="shared" ref="U3:U66" si="7">P3/T3</f>
        <v>0.0134730448987926</v>
      </c>
      <c r="V3" s="48">
        <f t="shared" ref="V3:V66" si="8">E3/T3</f>
        <v>0.0132008308285884</v>
      </c>
    </row>
    <row r="4" s="34" customFormat="1" customHeight="1" spans="1:24">
      <c r="A4" s="56" t="s">
        <v>22</v>
      </c>
      <c r="B4" s="7">
        <f t="shared" si="0"/>
        <v>0.0563773330287133</v>
      </c>
      <c r="C4" s="6">
        <f t="shared" ref="C4:C15" si="9">N4*B4*S4</f>
        <v>2130.09679208676</v>
      </c>
      <c r="D4" s="57">
        <f t="shared" si="1"/>
        <v>0.232379688111184</v>
      </c>
      <c r="E4" s="58">
        <f t="shared" si="2"/>
        <v>7036.35320791324</v>
      </c>
      <c r="F4" s="11"/>
      <c r="G4" s="5">
        <v>7286</v>
      </c>
      <c r="H4" s="5">
        <v>15621</v>
      </c>
      <c r="I4" s="5">
        <v>695.27</v>
      </c>
      <c r="J4" s="59">
        <f t="shared" si="3"/>
        <v>0.0954254735108427</v>
      </c>
      <c r="K4" s="6">
        <v>25084.15</v>
      </c>
      <c r="L4" s="6">
        <f t="shared" si="4"/>
        <v>36.0782861334446</v>
      </c>
      <c r="M4" s="11"/>
      <c r="N4" s="5">
        <v>1150</v>
      </c>
      <c r="O4" s="5">
        <v>16100</v>
      </c>
      <c r="P4" s="6">
        <v>9166.45</v>
      </c>
      <c r="Q4" s="5">
        <v>279</v>
      </c>
      <c r="R4" s="7">
        <f t="shared" si="5"/>
        <v>0.0173291925465839</v>
      </c>
      <c r="S4" s="6">
        <f t="shared" si="6"/>
        <v>32.8546594982079</v>
      </c>
      <c r="T4" s="6">
        <v>510241.91</v>
      </c>
      <c r="U4" s="7">
        <f t="shared" si="7"/>
        <v>0.0179649100168977</v>
      </c>
      <c r="V4" s="7">
        <f t="shared" si="8"/>
        <v>0.0137902298302255</v>
      </c>
    </row>
    <row r="5" s="34" customFormat="1" customHeight="1" spans="1:24">
      <c r="A5" s="56" t="s">
        <v>23</v>
      </c>
      <c r="B5" s="7">
        <f t="shared" si="0"/>
        <v>0.0581254494588953</v>
      </c>
      <c r="C5" s="6">
        <f t="shared" si="9"/>
        <v>1821.80350253269</v>
      </c>
      <c r="D5" s="57">
        <f t="shared" si="1"/>
        <v>0.20631088385015</v>
      </c>
      <c r="E5" s="58">
        <f t="shared" si="2"/>
        <v>7008.57649746731</v>
      </c>
      <c r="F5" s="11"/>
      <c r="G5" s="5">
        <v>6424</v>
      </c>
      <c r="H5" s="5">
        <v>19820</v>
      </c>
      <c r="I5" s="5">
        <v>632.34</v>
      </c>
      <c r="J5" s="59">
        <f t="shared" si="3"/>
        <v>0.09843399750934</v>
      </c>
      <c r="K5" s="6">
        <v>22871.48</v>
      </c>
      <c r="L5" s="6">
        <f t="shared" si="4"/>
        <v>36.1695923079356</v>
      </c>
      <c r="M5" s="11"/>
      <c r="N5" s="5">
        <v>898</v>
      </c>
      <c r="O5" s="5">
        <v>14200</v>
      </c>
      <c r="P5" s="6">
        <v>8830.38</v>
      </c>
      <c r="Q5" s="5">
        <v>253</v>
      </c>
      <c r="R5" s="7">
        <f t="shared" si="5"/>
        <v>0.0178169014084507</v>
      </c>
      <c r="S5" s="6">
        <f t="shared" si="6"/>
        <v>34.9026877470356</v>
      </c>
      <c r="T5" s="6">
        <v>475435.55</v>
      </c>
      <c r="U5" s="7">
        <f t="shared" si="7"/>
        <v>0.0185732429979205</v>
      </c>
      <c r="V5" s="7">
        <f t="shared" si="8"/>
        <v>0.0147413808190559</v>
      </c>
    </row>
    <row r="6" s="34" customFormat="1" customHeight="1" spans="1:24">
      <c r="A6" s="56" t="s">
        <v>24</v>
      </c>
      <c r="B6" s="7">
        <f t="shared" si="0"/>
        <v>0.0624558055884546</v>
      </c>
      <c r="C6" s="6">
        <f t="shared" si="9"/>
        <v>4542.07210047499</v>
      </c>
      <c r="D6" s="57">
        <f t="shared" si="1"/>
        <v>0.317501085265722</v>
      </c>
      <c r="E6" s="58">
        <f t="shared" si="2"/>
        <v>9763.61789952501</v>
      </c>
      <c r="F6" s="11"/>
      <c r="G6" s="5">
        <v>9238</v>
      </c>
      <c r="H6" s="5">
        <v>31269</v>
      </c>
      <c r="I6" s="5">
        <v>973.4</v>
      </c>
      <c r="J6" s="59">
        <f t="shared" si="3"/>
        <v>0.105369127516779</v>
      </c>
      <c r="K6" s="6">
        <v>38725.07</v>
      </c>
      <c r="L6" s="6">
        <f t="shared" si="4"/>
        <v>39.7833059379495</v>
      </c>
      <c r="M6" s="11"/>
      <c r="N6" s="5">
        <v>1520</v>
      </c>
      <c r="O6" s="5">
        <v>15300</v>
      </c>
      <c r="P6" s="6">
        <v>14305.69</v>
      </c>
      <c r="Q6" s="5">
        <v>299</v>
      </c>
      <c r="R6" s="7">
        <f t="shared" si="5"/>
        <v>0.0195424836601307</v>
      </c>
      <c r="S6" s="6">
        <f t="shared" si="6"/>
        <v>47.8451170568562</v>
      </c>
      <c r="T6" s="6">
        <v>1089510.17</v>
      </c>
      <c r="U6" s="7">
        <f t="shared" si="7"/>
        <v>0.0131303868416391</v>
      </c>
      <c r="V6" s="7">
        <f t="shared" si="8"/>
        <v>0.00896147476945994</v>
      </c>
      <c r="X6" s="60">
        <f>T5+T18+T31+T44+T57</f>
        <v>1177858.53</v>
      </c>
    </row>
    <row r="7" s="34" customFormat="1" customHeight="1" spans="1:24">
      <c r="A7" s="56" t="s">
        <v>25</v>
      </c>
      <c r="B7" s="7">
        <f t="shared" si="0"/>
        <v>0.0623967126040769</v>
      </c>
      <c r="C7" s="6">
        <f t="shared" si="9"/>
        <v>4400.86446101995</v>
      </c>
      <c r="D7" s="57">
        <f t="shared" si="1"/>
        <v>0.314260815305205</v>
      </c>
      <c r="E7" s="58">
        <f t="shared" si="2"/>
        <v>9602.99553898005</v>
      </c>
      <c r="F7" s="11"/>
      <c r="G7" s="5">
        <v>7740</v>
      </c>
      <c r="H7" s="5">
        <v>28348</v>
      </c>
      <c r="I7" s="5">
        <v>834.99</v>
      </c>
      <c r="J7" s="59">
        <f t="shared" si="3"/>
        <v>0.10787984496124</v>
      </c>
      <c r="K7" s="6">
        <v>36827.08</v>
      </c>
      <c r="L7" s="6">
        <f t="shared" si="4"/>
        <v>44.1048156265345</v>
      </c>
      <c r="M7" s="11"/>
      <c r="N7" s="5">
        <v>1380</v>
      </c>
      <c r="O7" s="5">
        <v>16200</v>
      </c>
      <c r="P7" s="6">
        <v>14003.86</v>
      </c>
      <c r="Q7" s="5">
        <v>274</v>
      </c>
      <c r="R7" s="7">
        <f t="shared" si="5"/>
        <v>0.0169135802469136</v>
      </c>
      <c r="S7" s="6">
        <f t="shared" si="6"/>
        <v>51.1089781021898</v>
      </c>
      <c r="T7" s="6">
        <v>929687.05</v>
      </c>
      <c r="U7" s="7">
        <f t="shared" si="7"/>
        <v>0.0150629827531748</v>
      </c>
      <c r="V7" s="7">
        <f t="shared" si="8"/>
        <v>0.0103292775122339</v>
      </c>
      <c r="X7" s="60">
        <f>T6+T19+T32+T45+T58</f>
        <v>2359410.09</v>
      </c>
    </row>
    <row r="8" s="34" customFormat="1" customHeight="1" spans="1:24">
      <c r="A8" s="56" t="s">
        <v>26</v>
      </c>
      <c r="B8" s="7">
        <f t="shared" si="0"/>
        <v>0.0612736057597313</v>
      </c>
      <c r="C8" s="6">
        <f t="shared" si="9"/>
        <v>3988.0155937921</v>
      </c>
      <c r="D8" s="57">
        <f t="shared" si="1"/>
        <v>0.276024869396873</v>
      </c>
      <c r="E8" s="58">
        <f t="shared" si="2"/>
        <v>10460.0144062079</v>
      </c>
      <c r="F8" s="11"/>
      <c r="G8" s="5">
        <v>7230</v>
      </c>
      <c r="H8" s="5">
        <v>29408</v>
      </c>
      <c r="I8" s="5">
        <v>784.99</v>
      </c>
      <c r="J8" s="59">
        <f t="shared" si="3"/>
        <v>0.108573997233748</v>
      </c>
      <c r="K8" s="6">
        <v>34492.75</v>
      </c>
      <c r="L8" s="6">
        <f t="shared" si="4"/>
        <v>43.9403686671168</v>
      </c>
      <c r="M8" s="11"/>
      <c r="N8" s="5">
        <v>1410</v>
      </c>
      <c r="O8" s="5">
        <v>22400</v>
      </c>
      <c r="P8" s="6">
        <v>14448.03</v>
      </c>
      <c r="Q8" s="5">
        <v>313</v>
      </c>
      <c r="R8" s="7">
        <f t="shared" si="5"/>
        <v>0.0139732142857143</v>
      </c>
      <c r="S8" s="6">
        <f t="shared" si="6"/>
        <v>46.1598402555911</v>
      </c>
      <c r="T8" s="6">
        <v>1005996.75</v>
      </c>
      <c r="U8" s="7">
        <f t="shared" si="7"/>
        <v>0.0143619052447237</v>
      </c>
      <c r="V8" s="7">
        <f t="shared" si="8"/>
        <v>0.0103976622252586</v>
      </c>
      <c r="X8" s="60">
        <f>T7+T20+T33+T46+T59</f>
        <v>2238234.71</v>
      </c>
    </row>
    <row r="9" s="34" customFormat="1" customHeight="1" spans="1:24">
      <c r="A9" s="56" t="s">
        <v>27</v>
      </c>
      <c r="B9" s="7">
        <f t="shared" si="0"/>
        <v>0.0640145304326295</v>
      </c>
      <c r="C9" s="6">
        <f t="shared" si="9"/>
        <v>6325.50030534427</v>
      </c>
      <c r="D9" s="57">
        <f t="shared" si="1"/>
        <v>0.370316615002711</v>
      </c>
      <c r="E9" s="58">
        <f t="shared" si="2"/>
        <v>10755.8296946557</v>
      </c>
      <c r="F9" s="11"/>
      <c r="G9" s="5">
        <v>9546</v>
      </c>
      <c r="H9" s="5">
        <v>38798</v>
      </c>
      <c r="I9" s="5">
        <v>1092.37</v>
      </c>
      <c r="J9" s="59">
        <f t="shared" si="3"/>
        <v>0.114432222920595</v>
      </c>
      <c r="K9" s="6">
        <v>48335.73</v>
      </c>
      <c r="L9" s="6">
        <f t="shared" si="4"/>
        <v>44.2484963885863</v>
      </c>
      <c r="M9" s="11"/>
      <c r="N9" s="5">
        <v>1990</v>
      </c>
      <c r="O9" s="5">
        <v>25300</v>
      </c>
      <c r="P9" s="6">
        <v>17081.33</v>
      </c>
      <c r="Q9" s="5">
        <v>344</v>
      </c>
      <c r="R9" s="7">
        <f t="shared" si="5"/>
        <v>0.013596837944664</v>
      </c>
      <c r="S9" s="6">
        <f t="shared" si="6"/>
        <v>49.6550290697674</v>
      </c>
      <c r="T9" s="6">
        <v>1504525.38</v>
      </c>
      <c r="U9" s="7">
        <f t="shared" si="7"/>
        <v>0.0113533013314804</v>
      </c>
      <c r="V9" s="7">
        <f t="shared" si="8"/>
        <v>0.00714898521330078</v>
      </c>
      <c r="X9" s="60">
        <f>T8+T21+T34+T47+T60+T69+T78+T87</f>
        <v>3062208.34</v>
      </c>
    </row>
    <row r="10" s="34" customFormat="1" customHeight="1" spans="1:24">
      <c r="A10" s="56" t="s">
        <v>28</v>
      </c>
      <c r="B10" s="7">
        <f t="shared" si="0"/>
        <v>0.0619996520701685</v>
      </c>
      <c r="C10" s="6">
        <f t="shared" si="9"/>
        <v>5555.0334621961</v>
      </c>
      <c r="D10" s="57">
        <f t="shared" si="1"/>
        <v>0.28566928295622</v>
      </c>
      <c r="E10" s="58">
        <f t="shared" si="2"/>
        <v>13890.6465378039</v>
      </c>
      <c r="F10" s="11"/>
      <c r="G10" s="5">
        <v>10927</v>
      </c>
      <c r="H10" s="5">
        <v>42232</v>
      </c>
      <c r="I10" s="5">
        <v>1223.35</v>
      </c>
      <c r="J10" s="59">
        <f t="shared" si="3"/>
        <v>0.111956621213508</v>
      </c>
      <c r="K10" s="6">
        <v>53749.03</v>
      </c>
      <c r="L10" s="6">
        <f t="shared" si="4"/>
        <v>43.9359382024768</v>
      </c>
      <c r="M10" s="11"/>
      <c r="N10" s="5">
        <v>1820</v>
      </c>
      <c r="O10" s="5">
        <v>32800</v>
      </c>
      <c r="P10" s="6">
        <v>19445.68</v>
      </c>
      <c r="Q10" s="5">
        <v>395</v>
      </c>
      <c r="R10" s="7">
        <f t="shared" si="5"/>
        <v>0.0120426829268293</v>
      </c>
      <c r="S10" s="6">
        <f t="shared" si="6"/>
        <v>49.2295696202532</v>
      </c>
      <c r="T10" s="6">
        <v>1424361.64</v>
      </c>
      <c r="U10" s="7">
        <f t="shared" si="7"/>
        <v>0.0136522070336014</v>
      </c>
      <c r="V10" s="7">
        <f t="shared" si="8"/>
        <v>0.00975219083954262</v>
      </c>
      <c r="X10" s="60">
        <f>T9+T22+T35+T48+T61+T70+T79+T88</f>
        <v>3766126.85</v>
      </c>
    </row>
    <row r="11" s="34" customFormat="1" customHeight="1" spans="1:24">
      <c r="A11" s="56" t="s">
        <v>29</v>
      </c>
      <c r="B11" s="7">
        <f t="shared" si="0"/>
        <v>0.0560113090419541</v>
      </c>
      <c r="C11" s="6">
        <f t="shared" si="9"/>
        <v>3468.80297002274</v>
      </c>
      <c r="D11" s="57">
        <f t="shared" si="1"/>
        <v>0.425816969324797</v>
      </c>
      <c r="E11" s="58">
        <f t="shared" si="2"/>
        <v>4677.42702997726</v>
      </c>
      <c r="F11" s="11"/>
      <c r="G11" s="5">
        <v>7103</v>
      </c>
      <c r="H11" s="5">
        <v>28741</v>
      </c>
      <c r="I11" s="5">
        <v>757.74</v>
      </c>
      <c r="J11" s="59">
        <f t="shared" si="3"/>
        <v>0.106678868083908</v>
      </c>
      <c r="K11" s="6">
        <v>30503.86</v>
      </c>
      <c r="L11" s="6">
        <f t="shared" si="4"/>
        <v>40.2563676195001</v>
      </c>
      <c r="M11" s="11"/>
      <c r="N11" s="5">
        <v>1300</v>
      </c>
      <c r="O11" s="5">
        <v>32000</v>
      </c>
      <c r="P11" s="6">
        <v>8146.23</v>
      </c>
      <c r="Q11" s="5">
        <v>171</v>
      </c>
      <c r="R11" s="7">
        <f t="shared" si="5"/>
        <v>0.00534375</v>
      </c>
      <c r="S11" s="6">
        <f t="shared" si="6"/>
        <v>47.6387719298246</v>
      </c>
      <c r="T11" s="6">
        <v>885321.24</v>
      </c>
      <c r="U11" s="7">
        <f t="shared" si="7"/>
        <v>0.0092014396943645</v>
      </c>
      <c r="V11" s="7">
        <f t="shared" si="8"/>
        <v>0.00528331053028532</v>
      </c>
      <c r="X11" s="60">
        <f>T10+T23+T36+T49+T62+T71+T80+T89</f>
        <v>3210277.71</v>
      </c>
    </row>
    <row r="12" s="34" customFormat="1" customHeight="1" spans="1:24">
      <c r="A12" s="56" t="s">
        <v>30</v>
      </c>
      <c r="B12" s="7" t="e">
        <f t="shared" si="0"/>
        <v>#DIV/0!</v>
      </c>
      <c r="C12" s="6" t="e">
        <f t="shared" si="9"/>
        <v>#DIV/0!</v>
      </c>
      <c r="D12" s="57" t="e">
        <f t="shared" si="1"/>
        <v>#DIV/0!</v>
      </c>
      <c r="E12" s="58" t="e">
        <f t="shared" si="2"/>
        <v>#DIV/0!</v>
      </c>
      <c r="F12" s="11"/>
      <c r="G12" s="5"/>
      <c r="H12" s="5"/>
      <c r="I12" s="5"/>
      <c r="J12" s="59" t="e">
        <f t="shared" si="3"/>
        <v>#DIV/0!</v>
      </c>
      <c r="K12" s="6"/>
      <c r="L12" s="6" t="e">
        <f t="shared" si="4"/>
        <v>#DIV/0!</v>
      </c>
      <c r="M12" s="11"/>
      <c r="N12" s="5"/>
      <c r="O12" s="5"/>
      <c r="P12" s="6"/>
      <c r="Q12" s="5"/>
      <c r="R12" s="7" t="e">
        <f t="shared" si="5"/>
        <v>#DIV/0!</v>
      </c>
      <c r="S12" s="6" t="e">
        <f t="shared" si="6"/>
        <v>#DIV/0!</v>
      </c>
      <c r="T12" s="6"/>
      <c r="U12" s="7" t="e">
        <f t="shared" si="7"/>
        <v>#DIV/0!</v>
      </c>
      <c r="V12" s="7" t="e">
        <f t="shared" si="8"/>
        <v>#DIV/0!</v>
      </c>
      <c r="X12" s="60">
        <f>T11+T24+T37+T50+T63+T72+T81+T90</f>
        <v>2487724.15</v>
      </c>
    </row>
    <row r="13" s="34" customFormat="1" customHeight="1" spans="1:24">
      <c r="A13" s="56" t="s">
        <v>31</v>
      </c>
      <c r="B13" s="7" t="e">
        <f t="shared" si="0"/>
        <v>#DIV/0!</v>
      </c>
      <c r="C13" s="6" t="e">
        <f t="shared" si="9"/>
        <v>#DIV/0!</v>
      </c>
      <c r="D13" s="57" t="e">
        <f t="shared" si="1"/>
        <v>#DIV/0!</v>
      </c>
      <c r="E13" s="58" t="e">
        <f t="shared" si="2"/>
        <v>#DIV/0!</v>
      </c>
      <c r="F13" s="11"/>
      <c r="G13" s="5"/>
      <c r="H13" s="5"/>
      <c r="I13" s="5"/>
      <c r="J13" s="59" t="e">
        <f t="shared" si="3"/>
        <v>#DIV/0!</v>
      </c>
      <c r="K13" s="6"/>
      <c r="L13" s="6" t="e">
        <f t="shared" si="4"/>
        <v>#DIV/0!</v>
      </c>
      <c r="M13" s="11"/>
      <c r="N13" s="5"/>
      <c r="O13" s="5"/>
      <c r="P13" s="6"/>
      <c r="Q13" s="5"/>
      <c r="R13" s="7" t="e">
        <f t="shared" si="5"/>
        <v>#DIV/0!</v>
      </c>
      <c r="S13" s="6" t="e">
        <f t="shared" si="6"/>
        <v>#DIV/0!</v>
      </c>
      <c r="T13" s="6"/>
      <c r="U13" s="7" t="e">
        <f t="shared" si="7"/>
        <v>#DIV/0!</v>
      </c>
      <c r="V13" s="7" t="e">
        <f t="shared" si="8"/>
        <v>#DIV/0!</v>
      </c>
    </row>
    <row r="14" s="34" customFormat="1" customHeight="1" spans="1:24">
      <c r="A14" s="56" t="s">
        <v>32</v>
      </c>
      <c r="B14" s="7" t="e">
        <f t="shared" si="0"/>
        <v>#DIV/0!</v>
      </c>
      <c r="C14" s="6" t="e">
        <f t="shared" si="9"/>
        <v>#DIV/0!</v>
      </c>
      <c r="D14" s="57" t="e">
        <f t="shared" si="1"/>
        <v>#DIV/0!</v>
      </c>
      <c r="E14" s="58" t="e">
        <f t="shared" si="2"/>
        <v>#DIV/0!</v>
      </c>
      <c r="F14" s="11"/>
      <c r="G14" s="5"/>
      <c r="H14" s="5"/>
      <c r="I14" s="5"/>
      <c r="J14" s="59" t="e">
        <f t="shared" si="3"/>
        <v>#DIV/0!</v>
      </c>
      <c r="K14" s="6"/>
      <c r="L14" s="6" t="e">
        <f t="shared" si="4"/>
        <v>#DIV/0!</v>
      </c>
      <c r="M14" s="11"/>
      <c r="N14" s="5"/>
      <c r="O14" s="5"/>
      <c r="P14" s="6"/>
      <c r="Q14" s="5"/>
      <c r="R14" s="7" t="e">
        <f t="shared" si="5"/>
        <v>#DIV/0!</v>
      </c>
      <c r="S14" s="6" t="e">
        <f t="shared" si="6"/>
        <v>#DIV/0!</v>
      </c>
      <c r="T14" s="6"/>
      <c r="U14" s="7" t="e">
        <f t="shared" si="7"/>
        <v>#DIV/0!</v>
      </c>
      <c r="V14" s="7" t="e">
        <f t="shared" si="8"/>
        <v>#DIV/0!</v>
      </c>
    </row>
    <row r="15" s="34" customFormat="1" customHeight="1" spans="1:24">
      <c r="A15" s="56" t="s">
        <v>33</v>
      </c>
      <c r="B15" s="7" t="e">
        <f t="shared" si="0"/>
        <v>#DIV/0!</v>
      </c>
      <c r="C15" s="6" t="e">
        <f t="shared" si="9"/>
        <v>#DIV/0!</v>
      </c>
      <c r="D15" s="57" t="e">
        <f t="shared" si="1"/>
        <v>#DIV/0!</v>
      </c>
      <c r="E15" s="58" t="e">
        <f t="shared" si="2"/>
        <v>#DIV/0!</v>
      </c>
      <c r="F15" s="11"/>
      <c r="G15" s="5"/>
      <c r="H15" s="5"/>
      <c r="I15" s="5"/>
      <c r="J15" s="59" t="e">
        <f t="shared" si="3"/>
        <v>#DIV/0!</v>
      </c>
      <c r="K15" s="6"/>
      <c r="L15" s="6" t="e">
        <f t="shared" si="4"/>
        <v>#DIV/0!</v>
      </c>
      <c r="M15" s="11"/>
      <c r="N15" s="5"/>
      <c r="O15" s="5"/>
      <c r="P15" s="6"/>
      <c r="Q15" s="5"/>
      <c r="R15" s="7" t="e">
        <f t="shared" si="5"/>
        <v>#DIV/0!</v>
      </c>
      <c r="S15" s="6" t="e">
        <f t="shared" si="6"/>
        <v>#DIV/0!</v>
      </c>
      <c r="T15" s="6"/>
      <c r="U15" s="7" t="e">
        <f t="shared" si="7"/>
        <v>#DIV/0!</v>
      </c>
      <c r="V15" s="7" t="e">
        <f t="shared" si="8"/>
        <v>#DIV/0!</v>
      </c>
    </row>
    <row r="16" customHeight="1" spans="1:24">
      <c r="A16" s="61" t="s">
        <v>34</v>
      </c>
      <c r="B16" s="48">
        <f t="shared" si="0"/>
        <v>0.0456817401778419</v>
      </c>
      <c r="C16" s="49">
        <f>C17</f>
        <v>4216.50192917101</v>
      </c>
      <c r="D16" s="50">
        <f t="shared" si="1"/>
        <v>0.020635564975822</v>
      </c>
      <c r="E16" s="51">
        <f t="shared" si="2"/>
        <v>200115.288070829</v>
      </c>
      <c r="F16" s="11"/>
      <c r="G16" s="53">
        <f>SUM(G17:G28)</f>
        <v>158643</v>
      </c>
      <c r="H16" s="53">
        <f>SUM(H17:H28)</f>
        <v>437884</v>
      </c>
      <c r="I16" s="53">
        <f>SUM(I17:I28)</f>
        <v>13668.06</v>
      </c>
      <c r="J16" s="54">
        <f t="shared" si="3"/>
        <v>0.0861560863069912</v>
      </c>
      <c r="K16" s="55">
        <f>SUM(K17:K28)</f>
        <v>519100.34</v>
      </c>
      <c r="L16" s="49">
        <f t="shared" si="4"/>
        <v>37.9790796938263</v>
      </c>
      <c r="M16" s="11"/>
      <c r="N16" s="53">
        <f>SUM(N17:N28)</f>
        <v>37370</v>
      </c>
      <c r="O16" s="53">
        <f>SUM(O17:O28)</f>
        <v>887200</v>
      </c>
      <c r="P16" s="55">
        <f>SUM(P17:P28)</f>
        <v>204331.79</v>
      </c>
      <c r="Q16" s="53">
        <f>SUM(Q17:Q28)</f>
        <v>4620</v>
      </c>
      <c r="R16" s="48">
        <f t="shared" si="5"/>
        <v>0.00520739404869252</v>
      </c>
      <c r="S16" s="49">
        <f t="shared" si="6"/>
        <v>44.2276601731602</v>
      </c>
      <c r="T16" s="49">
        <f>SUM(T17:T28)</f>
        <v>6097522.34</v>
      </c>
      <c r="U16" s="48">
        <f t="shared" si="7"/>
        <v>0.0335106258913682</v>
      </c>
      <c r="V16" s="48">
        <f t="shared" si="8"/>
        <v>0.0328191151934064</v>
      </c>
    </row>
    <row r="17" s="34" customFormat="1" customHeight="1" spans="1:22">
      <c r="A17" s="56" t="s">
        <v>22</v>
      </c>
      <c r="B17" s="7">
        <f t="shared" si="0"/>
        <v>0.0397583481414896</v>
      </c>
      <c r="C17" s="6">
        <f t="shared" ref="C17:C28" si="10">N17*B17*S17</f>
        <v>4216.50192917101</v>
      </c>
      <c r="D17" s="57">
        <f t="shared" si="1"/>
        <v>0.386996939010358</v>
      </c>
      <c r="E17" s="58">
        <f t="shared" si="2"/>
        <v>6678.93807082899</v>
      </c>
      <c r="F17" s="11"/>
      <c r="G17" s="5">
        <v>16643</v>
      </c>
      <c r="H17" s="5">
        <v>31097</v>
      </c>
      <c r="I17" s="5">
        <v>1267.7</v>
      </c>
      <c r="J17" s="59">
        <f t="shared" si="3"/>
        <v>0.0761701616295139</v>
      </c>
      <c r="K17" s="6">
        <v>40630.01</v>
      </c>
      <c r="L17" s="6">
        <f t="shared" si="4"/>
        <v>32.0501774867871</v>
      </c>
      <c r="M17" s="11"/>
      <c r="N17" s="5">
        <v>3290</v>
      </c>
      <c r="O17" s="5">
        <v>101000</v>
      </c>
      <c r="P17" s="6">
        <v>10895.44</v>
      </c>
      <c r="Q17" s="5">
        <v>338</v>
      </c>
      <c r="R17" s="7">
        <f t="shared" si="5"/>
        <v>0.00334653465346535</v>
      </c>
      <c r="S17" s="6">
        <f t="shared" si="6"/>
        <v>32.2350295857988</v>
      </c>
      <c r="T17" s="6">
        <v>383274.75</v>
      </c>
      <c r="U17" s="7">
        <f t="shared" si="7"/>
        <v>0.0284272313790564</v>
      </c>
      <c r="V17" s="7">
        <f t="shared" si="8"/>
        <v>0.0174259798508224</v>
      </c>
    </row>
    <row r="18" s="34" customFormat="1" customHeight="1" spans="1:22">
      <c r="A18" s="56" t="s">
        <v>23</v>
      </c>
      <c r="B18" s="7">
        <f t="shared" si="0"/>
        <v>0.0391692599965912</v>
      </c>
      <c r="C18" s="6">
        <f t="shared" si="10"/>
        <v>4767.26256606661</v>
      </c>
      <c r="D18" s="57">
        <f t="shared" si="1"/>
        <v>0.327684297044653</v>
      </c>
      <c r="E18" s="58">
        <f t="shared" si="2"/>
        <v>9781.07743393339</v>
      </c>
      <c r="F18" s="11"/>
      <c r="G18" s="5">
        <v>16273</v>
      </c>
      <c r="H18" s="5">
        <v>36789</v>
      </c>
      <c r="I18" s="5">
        <v>1211.86</v>
      </c>
      <c r="J18" s="59">
        <f t="shared" si="3"/>
        <v>0.0744705954648805</v>
      </c>
      <c r="K18" s="6">
        <v>41469.82</v>
      </c>
      <c r="L18" s="6">
        <f t="shared" si="4"/>
        <v>34.2199759048075</v>
      </c>
      <c r="M18" s="11"/>
      <c r="N18" s="5">
        <v>3430</v>
      </c>
      <c r="O18" s="5">
        <v>106000</v>
      </c>
      <c r="P18" s="6">
        <v>14548.34</v>
      </c>
      <c r="Q18" s="5">
        <v>410</v>
      </c>
      <c r="R18" s="7">
        <f t="shared" si="5"/>
        <v>0.00386792452830189</v>
      </c>
      <c r="S18" s="6">
        <f t="shared" si="6"/>
        <v>35.483756097561</v>
      </c>
      <c r="T18" s="6">
        <v>369651.14</v>
      </c>
      <c r="U18" s="7">
        <f t="shared" si="7"/>
        <v>0.0393569461195223</v>
      </c>
      <c r="V18" s="7">
        <f t="shared" si="8"/>
        <v>0.0264602928965224</v>
      </c>
    </row>
    <row r="19" s="34" customFormat="1" customHeight="1" spans="1:22">
      <c r="A19" s="56" t="s">
        <v>24</v>
      </c>
      <c r="B19" s="7">
        <f t="shared" si="0"/>
        <v>0.0454998429491601</v>
      </c>
      <c r="C19" s="6">
        <f t="shared" si="10"/>
        <v>8310.20506584197</v>
      </c>
      <c r="D19" s="57">
        <f t="shared" si="1"/>
        <v>0.374807135404959</v>
      </c>
      <c r="E19" s="58">
        <f t="shared" si="2"/>
        <v>13861.744934158</v>
      </c>
      <c r="F19" s="11"/>
      <c r="G19" s="5">
        <v>17134</v>
      </c>
      <c r="H19" s="5">
        <v>42161</v>
      </c>
      <c r="I19" s="5">
        <v>1477.88</v>
      </c>
      <c r="J19" s="59">
        <f t="shared" si="3"/>
        <v>0.0862542313528657</v>
      </c>
      <c r="K19" s="6">
        <v>54569.85</v>
      </c>
      <c r="L19" s="6">
        <f t="shared" si="4"/>
        <v>36.9244119955612</v>
      </c>
      <c r="M19" s="11"/>
      <c r="N19" s="5">
        <v>4300</v>
      </c>
      <c r="O19" s="5">
        <v>110000</v>
      </c>
      <c r="P19" s="6">
        <v>22171.95</v>
      </c>
      <c r="Q19" s="5">
        <v>522</v>
      </c>
      <c r="R19" s="7">
        <f t="shared" si="5"/>
        <v>0.00474545454545455</v>
      </c>
      <c r="S19" s="6">
        <f t="shared" si="6"/>
        <v>42.475</v>
      </c>
      <c r="T19" s="6">
        <v>667056.25</v>
      </c>
      <c r="U19" s="7">
        <f t="shared" si="7"/>
        <v>0.0332385012508315</v>
      </c>
      <c r="V19" s="7">
        <f t="shared" si="8"/>
        <v>0.0207804738118532</v>
      </c>
    </row>
    <row r="20" s="34" customFormat="1" customHeight="1" spans="1:22">
      <c r="A20" s="56" t="s">
        <v>25</v>
      </c>
      <c r="B20" s="7">
        <f t="shared" si="0"/>
        <v>0.0412869850379176</v>
      </c>
      <c r="C20" s="6">
        <f t="shared" si="10"/>
        <v>8883.77579195122</v>
      </c>
      <c r="D20" s="57">
        <f t="shared" si="1"/>
        <v>0.361261119081779</v>
      </c>
      <c r="E20" s="58">
        <f t="shared" si="2"/>
        <v>15707.2342080488</v>
      </c>
      <c r="F20" s="11"/>
      <c r="G20" s="5">
        <v>17850</v>
      </c>
      <c r="H20" s="5">
        <v>46913</v>
      </c>
      <c r="I20" s="5">
        <v>1396.16</v>
      </c>
      <c r="J20" s="59">
        <f t="shared" si="3"/>
        <v>0.0782162464985994</v>
      </c>
      <c r="K20" s="6">
        <v>54385.65</v>
      </c>
      <c r="L20" s="6">
        <f t="shared" si="4"/>
        <v>38.953737393995</v>
      </c>
      <c r="M20" s="11"/>
      <c r="N20" s="5">
        <v>4690</v>
      </c>
      <c r="O20" s="5">
        <v>123000</v>
      </c>
      <c r="P20" s="6">
        <v>24591.01</v>
      </c>
      <c r="Q20" s="5">
        <v>536</v>
      </c>
      <c r="R20" s="7">
        <f t="shared" si="5"/>
        <v>0.00435772357723577</v>
      </c>
      <c r="S20" s="6">
        <f t="shared" si="6"/>
        <v>45.87875</v>
      </c>
      <c r="T20" s="6">
        <v>710867.88</v>
      </c>
      <c r="U20" s="7">
        <f t="shared" si="7"/>
        <v>0.0345929401114592</v>
      </c>
      <c r="V20" s="7">
        <f t="shared" si="8"/>
        <v>0.0220958558544645</v>
      </c>
    </row>
    <row r="21" s="34" customFormat="1" customHeight="1" spans="1:22">
      <c r="A21" s="56" t="s">
        <v>26</v>
      </c>
      <c r="B21" s="7">
        <f t="shared" si="0"/>
        <v>0.051372007118663</v>
      </c>
      <c r="C21" s="6">
        <f t="shared" si="10"/>
        <v>12951.7867488563</v>
      </c>
      <c r="D21" s="57">
        <f t="shared" si="1"/>
        <v>0.367330182827379</v>
      </c>
      <c r="E21" s="58">
        <f t="shared" si="2"/>
        <v>22307.4632511437</v>
      </c>
      <c r="F21" s="11"/>
      <c r="G21" s="5">
        <v>24261</v>
      </c>
      <c r="H21" s="5">
        <v>74793</v>
      </c>
      <c r="I21" s="5">
        <v>2312.38</v>
      </c>
      <c r="J21" s="59">
        <f t="shared" si="3"/>
        <v>0.0953126416883063</v>
      </c>
      <c r="K21" s="6">
        <v>90172.94</v>
      </c>
      <c r="L21" s="6">
        <f t="shared" si="4"/>
        <v>38.9957273458515</v>
      </c>
      <c r="M21" s="11"/>
      <c r="N21" s="5">
        <v>5420</v>
      </c>
      <c r="O21" s="5">
        <v>102000</v>
      </c>
      <c r="P21" s="6">
        <v>35259.25</v>
      </c>
      <c r="Q21" s="5">
        <v>758</v>
      </c>
      <c r="R21" s="7">
        <f t="shared" si="5"/>
        <v>0.00743137254901961</v>
      </c>
      <c r="S21" s="6">
        <f t="shared" si="6"/>
        <v>46.5161609498681</v>
      </c>
      <c r="T21" s="6">
        <v>1052009.49</v>
      </c>
      <c r="U21" s="7">
        <f t="shared" si="7"/>
        <v>0.0335160949926412</v>
      </c>
      <c r="V21" s="7">
        <f t="shared" si="8"/>
        <v>0.0212046216913345</v>
      </c>
    </row>
    <row r="22" s="34" customFormat="1" customHeight="1" spans="1:22">
      <c r="A22" s="56" t="s">
        <v>27</v>
      </c>
      <c r="B22" s="7">
        <f t="shared" si="0"/>
        <v>0.0494115871583791</v>
      </c>
      <c r="C22" s="6">
        <f t="shared" si="10"/>
        <v>15213.4321365252</v>
      </c>
      <c r="D22" s="57">
        <f t="shared" si="1"/>
        <v>0.395048085449417</v>
      </c>
      <c r="E22" s="58">
        <f t="shared" si="2"/>
        <v>23296.8978634748</v>
      </c>
      <c r="F22" s="11"/>
      <c r="G22" s="5">
        <v>26213</v>
      </c>
      <c r="H22" s="5">
        <v>81776</v>
      </c>
      <c r="I22" s="5">
        <v>2365.61</v>
      </c>
      <c r="J22" s="59">
        <f t="shared" si="3"/>
        <v>0.0902456796246137</v>
      </c>
      <c r="K22" s="6">
        <v>92344.16</v>
      </c>
      <c r="L22" s="6">
        <f t="shared" si="4"/>
        <v>39.0360879434903</v>
      </c>
      <c r="M22" s="11"/>
      <c r="N22" s="5">
        <v>6460</v>
      </c>
      <c r="O22" s="5">
        <v>94200</v>
      </c>
      <c r="P22" s="6">
        <v>38510.33</v>
      </c>
      <c r="Q22" s="5">
        <v>808</v>
      </c>
      <c r="R22" s="7">
        <f t="shared" si="5"/>
        <v>0.00857749469214437</v>
      </c>
      <c r="S22" s="6">
        <f t="shared" si="6"/>
        <v>47.6612995049505</v>
      </c>
      <c r="T22" s="6">
        <v>1208116.74</v>
      </c>
      <c r="U22" s="7">
        <f t="shared" si="7"/>
        <v>0.0318763317525093</v>
      </c>
      <c r="V22" s="7">
        <f t="shared" si="8"/>
        <v>0.01928364792253</v>
      </c>
    </row>
    <row r="23" s="34" customFormat="1" customHeight="1" spans="1:22">
      <c r="A23" s="56" t="s">
        <v>28</v>
      </c>
      <c r="B23" s="7">
        <f t="shared" si="0"/>
        <v>0.0478456272970702</v>
      </c>
      <c r="C23" s="6">
        <f t="shared" si="10"/>
        <v>12770.7128493978</v>
      </c>
      <c r="D23" s="57">
        <f t="shared" si="1"/>
        <v>0.39406488252146</v>
      </c>
      <c r="E23" s="58">
        <f t="shared" si="2"/>
        <v>19636.9271506022</v>
      </c>
      <c r="F23" s="11"/>
      <c r="G23" s="5">
        <v>21769</v>
      </c>
      <c r="H23" s="5">
        <v>68373</v>
      </c>
      <c r="I23" s="5">
        <v>1968.43</v>
      </c>
      <c r="J23" s="59">
        <f t="shared" si="3"/>
        <v>0.0904235380587073</v>
      </c>
      <c r="K23" s="6">
        <v>80363.95</v>
      </c>
      <c r="L23" s="6">
        <f t="shared" si="4"/>
        <v>40.8264200403367</v>
      </c>
      <c r="M23" s="11"/>
      <c r="N23" s="5">
        <v>5510</v>
      </c>
      <c r="O23" s="5">
        <v>127000</v>
      </c>
      <c r="P23" s="6">
        <v>32407.64</v>
      </c>
      <c r="Q23" s="5">
        <v>669</v>
      </c>
      <c r="R23" s="7">
        <f t="shared" si="5"/>
        <v>0.00526771653543307</v>
      </c>
      <c r="S23" s="6">
        <f t="shared" si="6"/>
        <v>48.441913303438</v>
      </c>
      <c r="T23" s="6">
        <v>962821.85</v>
      </c>
      <c r="U23" s="7">
        <f t="shared" si="7"/>
        <v>0.0336590200980586</v>
      </c>
      <c r="V23" s="7">
        <f t="shared" si="8"/>
        <v>0.0203951822973297</v>
      </c>
    </row>
    <row r="24" s="34" customFormat="1" customHeight="1" spans="1:22">
      <c r="A24" s="56" t="s">
        <v>29</v>
      </c>
      <c r="B24" s="7">
        <f t="shared" si="0"/>
        <v>0.047416839581517</v>
      </c>
      <c r="C24" s="6">
        <f t="shared" si="10"/>
        <v>9073.66956026854</v>
      </c>
      <c r="D24" s="57">
        <f t="shared" si="1"/>
        <v>0.349688955117578</v>
      </c>
      <c r="E24" s="58">
        <f t="shared" si="2"/>
        <v>16874.1604397315</v>
      </c>
      <c r="F24" s="11"/>
      <c r="G24" s="5">
        <v>18500</v>
      </c>
      <c r="H24" s="5">
        <v>55982</v>
      </c>
      <c r="I24" s="5">
        <v>1668.04</v>
      </c>
      <c r="J24" s="59">
        <f t="shared" si="3"/>
        <v>0.0901643243243243</v>
      </c>
      <c r="K24" s="6">
        <v>65163.96</v>
      </c>
      <c r="L24" s="6">
        <f t="shared" si="4"/>
        <v>39.0661854631783</v>
      </c>
      <c r="M24" s="11"/>
      <c r="N24" s="5">
        <v>4270</v>
      </c>
      <c r="O24" s="5">
        <v>124000</v>
      </c>
      <c r="P24" s="6">
        <v>25947.83</v>
      </c>
      <c r="Q24" s="5">
        <v>579</v>
      </c>
      <c r="R24" s="7">
        <f t="shared" si="5"/>
        <v>0.00466935483870968</v>
      </c>
      <c r="S24" s="6">
        <f t="shared" si="6"/>
        <v>44.8149050086356</v>
      </c>
      <c r="T24" s="6">
        <v>743724.24</v>
      </c>
      <c r="U24" s="7">
        <f t="shared" si="7"/>
        <v>0.0348890470478682</v>
      </c>
      <c r="V24" s="7">
        <f t="shared" si="8"/>
        <v>0.0226887326406511</v>
      </c>
    </row>
    <row r="25" s="34" customFormat="1" customHeight="1" spans="1:22">
      <c r="A25" s="56" t="s">
        <v>30</v>
      </c>
      <c r="B25" s="7" t="e">
        <f t="shared" si="0"/>
        <v>#DIV/0!</v>
      </c>
      <c r="C25" s="6" t="e">
        <f t="shared" si="10"/>
        <v>#DIV/0!</v>
      </c>
      <c r="D25" s="57" t="e">
        <f t="shared" si="1"/>
        <v>#DIV/0!</v>
      </c>
      <c r="E25" s="58" t="e">
        <f t="shared" si="2"/>
        <v>#DIV/0!</v>
      </c>
      <c r="F25" s="11"/>
      <c r="G25" s="5"/>
      <c r="H25" s="5"/>
      <c r="I25" s="5"/>
      <c r="J25" s="59" t="e">
        <f t="shared" si="3"/>
        <v>#DIV/0!</v>
      </c>
      <c r="K25" s="6"/>
      <c r="L25" s="6" t="e">
        <f t="shared" si="4"/>
        <v>#DIV/0!</v>
      </c>
      <c r="M25" s="11"/>
      <c r="N25" s="5"/>
      <c r="O25" s="5"/>
      <c r="P25" s="6"/>
      <c r="Q25" s="5"/>
      <c r="R25" s="7" t="e">
        <f t="shared" si="5"/>
        <v>#DIV/0!</v>
      </c>
      <c r="S25" s="6" t="e">
        <f t="shared" si="6"/>
        <v>#DIV/0!</v>
      </c>
      <c r="T25" s="6"/>
      <c r="U25" s="7" t="e">
        <f t="shared" si="7"/>
        <v>#DIV/0!</v>
      </c>
      <c r="V25" s="7" t="e">
        <f t="shared" si="8"/>
        <v>#DIV/0!</v>
      </c>
    </row>
    <row r="26" s="34" customFormat="1" customHeight="1" spans="1:22">
      <c r="A26" s="56" t="s">
        <v>31</v>
      </c>
      <c r="B26" s="7" t="e">
        <f t="shared" si="0"/>
        <v>#DIV/0!</v>
      </c>
      <c r="C26" s="6" t="e">
        <f t="shared" si="10"/>
        <v>#DIV/0!</v>
      </c>
      <c r="D26" s="57" t="e">
        <f t="shared" si="1"/>
        <v>#DIV/0!</v>
      </c>
      <c r="E26" s="58" t="e">
        <f t="shared" si="2"/>
        <v>#DIV/0!</v>
      </c>
      <c r="F26" s="11"/>
      <c r="G26" s="5"/>
      <c r="H26" s="5"/>
      <c r="I26" s="5"/>
      <c r="J26" s="59" t="e">
        <f t="shared" si="3"/>
        <v>#DIV/0!</v>
      </c>
      <c r="K26" s="6"/>
      <c r="L26" s="6" t="e">
        <f t="shared" si="4"/>
        <v>#DIV/0!</v>
      </c>
      <c r="M26" s="11"/>
      <c r="N26" s="5"/>
      <c r="O26" s="5"/>
      <c r="P26" s="6"/>
      <c r="Q26" s="5"/>
      <c r="R26" s="7" t="e">
        <f t="shared" si="5"/>
        <v>#DIV/0!</v>
      </c>
      <c r="S26" s="6" t="e">
        <f t="shared" si="6"/>
        <v>#DIV/0!</v>
      </c>
      <c r="T26" s="6"/>
      <c r="U26" s="7" t="e">
        <f t="shared" si="7"/>
        <v>#DIV/0!</v>
      </c>
      <c r="V26" s="7" t="e">
        <f t="shared" si="8"/>
        <v>#DIV/0!</v>
      </c>
    </row>
    <row r="27" s="34" customFormat="1" customHeight="1" spans="1:22">
      <c r="A27" s="56" t="s">
        <v>32</v>
      </c>
      <c r="B27" s="7" t="e">
        <f t="shared" si="0"/>
        <v>#DIV/0!</v>
      </c>
      <c r="C27" s="6" t="e">
        <f t="shared" si="10"/>
        <v>#DIV/0!</v>
      </c>
      <c r="D27" s="57" t="e">
        <f t="shared" si="1"/>
        <v>#DIV/0!</v>
      </c>
      <c r="E27" s="58" t="e">
        <f t="shared" si="2"/>
        <v>#DIV/0!</v>
      </c>
      <c r="F27" s="11"/>
      <c r="G27" s="5"/>
      <c r="H27" s="5"/>
      <c r="I27" s="5"/>
      <c r="J27" s="59" t="e">
        <f t="shared" si="3"/>
        <v>#DIV/0!</v>
      </c>
      <c r="K27" s="6"/>
      <c r="L27" s="6" t="e">
        <f t="shared" si="4"/>
        <v>#DIV/0!</v>
      </c>
      <c r="M27" s="11"/>
      <c r="N27" s="5"/>
      <c r="O27" s="5"/>
      <c r="P27" s="6"/>
      <c r="Q27" s="5"/>
      <c r="R27" s="7" t="e">
        <f t="shared" si="5"/>
        <v>#DIV/0!</v>
      </c>
      <c r="S27" s="6" t="e">
        <f t="shared" si="6"/>
        <v>#DIV/0!</v>
      </c>
      <c r="T27" s="6"/>
      <c r="U27" s="7" t="e">
        <f t="shared" si="7"/>
        <v>#DIV/0!</v>
      </c>
      <c r="V27" s="7" t="e">
        <f t="shared" si="8"/>
        <v>#DIV/0!</v>
      </c>
    </row>
    <row r="28" s="34" customFormat="1" customHeight="1" spans="1:22">
      <c r="A28" s="56" t="s">
        <v>33</v>
      </c>
      <c r="B28" s="7" t="e">
        <f t="shared" si="0"/>
        <v>#DIV/0!</v>
      </c>
      <c r="C28" s="6" t="e">
        <f t="shared" si="10"/>
        <v>#DIV/0!</v>
      </c>
      <c r="D28" s="57" t="e">
        <f t="shared" si="1"/>
        <v>#DIV/0!</v>
      </c>
      <c r="E28" s="58" t="e">
        <f t="shared" si="2"/>
        <v>#DIV/0!</v>
      </c>
      <c r="F28" s="11"/>
      <c r="G28" s="5"/>
      <c r="H28" s="5"/>
      <c r="I28" s="5"/>
      <c r="J28" s="59" t="e">
        <f t="shared" si="3"/>
        <v>#DIV/0!</v>
      </c>
      <c r="K28" s="6"/>
      <c r="L28" s="6" t="e">
        <f t="shared" si="4"/>
        <v>#DIV/0!</v>
      </c>
      <c r="M28" s="11"/>
      <c r="N28" s="5"/>
      <c r="O28" s="5"/>
      <c r="P28" s="6"/>
      <c r="Q28" s="5"/>
      <c r="R28" s="7" t="e">
        <f t="shared" si="5"/>
        <v>#DIV/0!</v>
      </c>
      <c r="S28" s="6" t="e">
        <f t="shared" si="6"/>
        <v>#DIV/0!</v>
      </c>
      <c r="T28" s="6"/>
      <c r="U28" s="7" t="e">
        <f t="shared" si="7"/>
        <v>#DIV/0!</v>
      </c>
      <c r="V28" s="7" t="e">
        <f t="shared" si="8"/>
        <v>#DIV/0!</v>
      </c>
    </row>
    <row r="29" customHeight="1" spans="1:22">
      <c r="A29" s="61" t="s">
        <v>35</v>
      </c>
      <c r="B29" s="48">
        <f t="shared" si="0"/>
        <v>0.0573319566063939</v>
      </c>
      <c r="C29" s="49">
        <f>C30</f>
        <v>893.476168572421</v>
      </c>
      <c r="D29" s="50">
        <f t="shared" si="1"/>
        <v>0.0261225441251045</v>
      </c>
      <c r="E29" s="51">
        <f t="shared" si="2"/>
        <v>33309.7838314276</v>
      </c>
      <c r="F29" s="11"/>
      <c r="G29" s="53">
        <f>SUM(G30:G41)</f>
        <v>29460</v>
      </c>
      <c r="H29" s="53">
        <f>SUM(H30:H41)</f>
        <v>81904</v>
      </c>
      <c r="I29" s="53">
        <f>SUM(I30:I41)</f>
        <v>2186.14</v>
      </c>
      <c r="J29" s="54">
        <f t="shared" si="3"/>
        <v>0.0742070604209097</v>
      </c>
      <c r="K29" s="55">
        <f>SUM(K30:K41)</f>
        <v>76614.66</v>
      </c>
      <c r="L29" s="49">
        <f t="shared" si="4"/>
        <v>35.0456329420806</v>
      </c>
      <c r="M29" s="11"/>
      <c r="N29" s="53">
        <f>SUM(N30:N41)</f>
        <v>6371</v>
      </c>
      <c r="O29" s="53">
        <f>SUM(O30:O41)</f>
        <v>19700</v>
      </c>
      <c r="P29" s="55">
        <f>SUM(P30:P41)</f>
        <v>34203.26</v>
      </c>
      <c r="Q29" s="53">
        <f>SUM(Q30:Q41)</f>
        <v>797</v>
      </c>
      <c r="R29" s="48">
        <f t="shared" si="5"/>
        <v>0.0404568527918782</v>
      </c>
      <c r="S29" s="49">
        <f t="shared" si="6"/>
        <v>42.9150062735257</v>
      </c>
      <c r="T29" s="49">
        <f>SUM(T30:T41)</f>
        <v>1236528.89</v>
      </c>
      <c r="U29" s="48">
        <f t="shared" si="7"/>
        <v>0.0276607043123756</v>
      </c>
      <c r="V29" s="48">
        <f t="shared" si="8"/>
        <v>0.0269381363434441</v>
      </c>
    </row>
    <row r="30" s="34" customFormat="1" customHeight="1" spans="1:22">
      <c r="A30" s="56" t="s">
        <v>22</v>
      </c>
      <c r="B30" s="7">
        <f t="shared" si="0"/>
        <v>0.0379333409152297</v>
      </c>
      <c r="C30" s="6">
        <f t="shared" ref="C30:C41" si="11">N30*B30*S30</f>
        <v>893.476168572421</v>
      </c>
      <c r="D30" s="57">
        <f t="shared" si="1"/>
        <v>0.48661363892818</v>
      </c>
      <c r="E30" s="58">
        <f t="shared" si="2"/>
        <v>942.633831427578</v>
      </c>
      <c r="F30" s="11"/>
      <c r="G30" s="5">
        <v>4638</v>
      </c>
      <c r="H30" s="5">
        <v>8534</v>
      </c>
      <c r="I30" s="5">
        <v>243.14</v>
      </c>
      <c r="J30" s="59">
        <f t="shared" si="3"/>
        <v>0.0524234583872359</v>
      </c>
      <c r="K30" s="6">
        <v>7285.78</v>
      </c>
      <c r="L30" s="6">
        <f t="shared" si="4"/>
        <v>29.9653697458255</v>
      </c>
      <c r="M30" s="11"/>
      <c r="N30" s="5">
        <v>821</v>
      </c>
      <c r="O30" s="5">
        <v>2730</v>
      </c>
      <c r="P30" s="6">
        <v>1836.11</v>
      </c>
      <c r="Q30" s="5">
        <v>64</v>
      </c>
      <c r="R30" s="7">
        <f t="shared" si="5"/>
        <v>0.0234432234432234</v>
      </c>
      <c r="S30" s="6">
        <f t="shared" si="6"/>
        <v>28.68921875</v>
      </c>
      <c r="T30" s="6">
        <v>80649.41</v>
      </c>
      <c r="U30" s="7">
        <f t="shared" si="7"/>
        <v>0.0227665645663124</v>
      </c>
      <c r="V30" s="7">
        <f t="shared" si="8"/>
        <v>0.0116880437368057</v>
      </c>
    </row>
    <row r="31" s="34" customFormat="1" customHeight="1" spans="1:22">
      <c r="A31" s="56" t="s">
        <v>23</v>
      </c>
      <c r="B31" s="7">
        <f t="shared" si="0"/>
        <v>0.0459632036284781</v>
      </c>
      <c r="C31" s="6">
        <f t="shared" si="11"/>
        <v>810.606682444268</v>
      </c>
      <c r="D31" s="57">
        <f t="shared" si="1"/>
        <v>0.421203784070807</v>
      </c>
      <c r="E31" s="58">
        <f t="shared" si="2"/>
        <v>1113.89331755573</v>
      </c>
      <c r="F31" s="11"/>
      <c r="G31" s="5">
        <v>3387</v>
      </c>
      <c r="H31" s="5">
        <v>7374</v>
      </c>
      <c r="I31" s="5">
        <v>222.3</v>
      </c>
      <c r="J31" s="59">
        <f t="shared" si="3"/>
        <v>0.0656333038086803</v>
      </c>
      <c r="K31" s="6">
        <v>6160.67</v>
      </c>
      <c r="L31" s="6">
        <f t="shared" si="4"/>
        <v>27.7133153396311</v>
      </c>
      <c r="M31" s="11"/>
      <c r="N31" s="5">
        <v>559</v>
      </c>
      <c r="O31" s="5">
        <v>2320</v>
      </c>
      <c r="P31" s="6">
        <v>1924.5</v>
      </c>
      <c r="Q31" s="5">
        <v>61</v>
      </c>
      <c r="R31" s="7">
        <f t="shared" si="5"/>
        <v>0.0262931034482759</v>
      </c>
      <c r="S31" s="6">
        <f t="shared" si="6"/>
        <v>31.5491803278689</v>
      </c>
      <c r="T31" s="6">
        <v>72275.46</v>
      </c>
      <c r="U31" s="7">
        <f t="shared" si="7"/>
        <v>0.0266272950735976</v>
      </c>
      <c r="V31" s="7">
        <f t="shared" si="8"/>
        <v>0.0154117776290283</v>
      </c>
    </row>
    <row r="32" s="34" customFormat="1" customHeight="1" spans="1:22">
      <c r="A32" s="56" t="s">
        <v>24</v>
      </c>
      <c r="B32" s="7">
        <f t="shared" si="0"/>
        <v>0.0630111075995631</v>
      </c>
      <c r="C32" s="6">
        <f t="shared" si="11"/>
        <v>2107.68041121588</v>
      </c>
      <c r="D32" s="57">
        <f t="shared" si="1"/>
        <v>0.431264547915043</v>
      </c>
      <c r="E32" s="58">
        <f t="shared" si="2"/>
        <v>2779.52958878412</v>
      </c>
      <c r="F32" s="11"/>
      <c r="G32" s="5">
        <v>3736</v>
      </c>
      <c r="H32" s="5">
        <v>9272</v>
      </c>
      <c r="I32" s="5">
        <v>287.77</v>
      </c>
      <c r="J32" s="59">
        <f t="shared" si="3"/>
        <v>0.0770262312633833</v>
      </c>
      <c r="K32" s="6">
        <v>10049.7</v>
      </c>
      <c r="L32" s="6">
        <f t="shared" si="4"/>
        <v>34.922681307989</v>
      </c>
      <c r="M32" s="11"/>
      <c r="N32" s="5">
        <v>835</v>
      </c>
      <c r="O32" s="5">
        <v>2490</v>
      </c>
      <c r="P32" s="6">
        <v>4887.21</v>
      </c>
      <c r="Q32" s="5">
        <v>122</v>
      </c>
      <c r="R32" s="7">
        <f t="shared" si="5"/>
        <v>0.048995983935743</v>
      </c>
      <c r="S32" s="6">
        <f t="shared" si="6"/>
        <v>40.0590983606557</v>
      </c>
      <c r="T32" s="6">
        <v>158131.3</v>
      </c>
      <c r="U32" s="7">
        <f t="shared" si="7"/>
        <v>0.0309060255623017</v>
      </c>
      <c r="V32" s="7">
        <f t="shared" si="8"/>
        <v>0.0175773524203249</v>
      </c>
    </row>
    <row r="33" s="34" customFormat="1" customHeight="1" spans="1:22">
      <c r="A33" s="56" t="s">
        <v>25</v>
      </c>
      <c r="B33" s="7">
        <f t="shared" si="0"/>
        <v>0.0574055253670276</v>
      </c>
      <c r="C33" s="6">
        <f t="shared" si="11"/>
        <v>1615.63947569774</v>
      </c>
      <c r="D33" s="57">
        <f t="shared" si="1"/>
        <v>0.523538391347292</v>
      </c>
      <c r="E33" s="58">
        <f t="shared" si="2"/>
        <v>1470.36052430226</v>
      </c>
      <c r="F33" s="11"/>
      <c r="G33" s="5">
        <v>3014</v>
      </c>
      <c r="H33" s="5">
        <v>9806</v>
      </c>
      <c r="I33" s="5">
        <v>241.87</v>
      </c>
      <c r="J33" s="59">
        <f t="shared" si="3"/>
        <v>0.0802488387524884</v>
      </c>
      <c r="K33" s="6">
        <v>9136.94</v>
      </c>
      <c r="L33" s="6">
        <f t="shared" si="4"/>
        <v>37.7762434365568</v>
      </c>
      <c r="M33" s="11"/>
      <c r="N33" s="5">
        <v>684</v>
      </c>
      <c r="O33" s="5">
        <v>2170</v>
      </c>
      <c r="P33" s="6">
        <v>3086</v>
      </c>
      <c r="Q33" s="5">
        <v>75</v>
      </c>
      <c r="R33" s="7">
        <f t="shared" si="5"/>
        <v>0.0345622119815668</v>
      </c>
      <c r="S33" s="6">
        <f t="shared" si="6"/>
        <v>41.1466666666667</v>
      </c>
      <c r="T33" s="6">
        <v>134531.68</v>
      </c>
      <c r="U33" s="7">
        <f t="shared" si="7"/>
        <v>0.0229388349272082</v>
      </c>
      <c r="V33" s="7">
        <f t="shared" si="8"/>
        <v>0.0109294741900366</v>
      </c>
    </row>
    <row r="34" s="34" customFormat="1" customHeight="1" spans="1:22">
      <c r="A34" s="56" t="s">
        <v>26</v>
      </c>
      <c r="B34" s="7">
        <f t="shared" si="0"/>
        <v>0.0635071520016942</v>
      </c>
      <c r="C34" s="6">
        <f t="shared" si="11"/>
        <v>3351.05008686704</v>
      </c>
      <c r="D34" s="57">
        <f t="shared" si="1"/>
        <v>0.551379924355794</v>
      </c>
      <c r="E34" s="58">
        <f t="shared" si="2"/>
        <v>2726.51991313296</v>
      </c>
      <c r="F34" s="11"/>
      <c r="G34" s="5">
        <v>4284</v>
      </c>
      <c r="H34" s="5">
        <v>12701</v>
      </c>
      <c r="I34" s="5">
        <v>354.22</v>
      </c>
      <c r="J34" s="59">
        <f t="shared" si="3"/>
        <v>0.0826844070961718</v>
      </c>
      <c r="K34" s="6">
        <v>13221.46</v>
      </c>
      <c r="L34" s="6">
        <f t="shared" si="4"/>
        <v>37.3255603862007</v>
      </c>
      <c r="M34" s="11"/>
      <c r="N34" s="5">
        <v>1120</v>
      </c>
      <c r="O34" s="5">
        <v>2910</v>
      </c>
      <c r="P34" s="6">
        <v>6077.57</v>
      </c>
      <c r="Q34" s="5">
        <v>129</v>
      </c>
      <c r="R34" s="7">
        <f t="shared" si="5"/>
        <v>0.0443298969072165</v>
      </c>
      <c r="S34" s="6">
        <f t="shared" si="6"/>
        <v>47.1129457364341</v>
      </c>
      <c r="T34" s="6">
        <v>249655.97</v>
      </c>
      <c r="U34" s="7">
        <f t="shared" si="7"/>
        <v>0.024343779962482</v>
      </c>
      <c r="V34" s="7">
        <f t="shared" si="8"/>
        <v>0.0109211084082346</v>
      </c>
    </row>
    <row r="35" s="34" customFormat="1" customHeight="1" spans="1:22">
      <c r="A35" s="56" t="s">
        <v>27</v>
      </c>
      <c r="B35" s="7">
        <f t="shared" si="0"/>
        <v>0.0686032122743899</v>
      </c>
      <c r="C35" s="6">
        <f t="shared" si="11"/>
        <v>3393.7991294362</v>
      </c>
      <c r="D35" s="57">
        <f t="shared" si="1"/>
        <v>0.460689626870382</v>
      </c>
      <c r="E35" s="58">
        <f t="shared" si="2"/>
        <v>3972.9808705638</v>
      </c>
      <c r="F35" s="11"/>
      <c r="G35" s="5">
        <v>4077</v>
      </c>
      <c r="H35" s="5">
        <v>13087</v>
      </c>
      <c r="I35" s="5">
        <v>327.34</v>
      </c>
      <c r="J35" s="59">
        <f t="shared" si="3"/>
        <v>0.080289428501349</v>
      </c>
      <c r="K35" s="6">
        <v>12510.29</v>
      </c>
      <c r="L35" s="6">
        <f t="shared" si="4"/>
        <v>38.2180301826847</v>
      </c>
      <c r="M35" s="11"/>
      <c r="N35" s="5">
        <v>967</v>
      </c>
      <c r="O35" s="5">
        <v>2530</v>
      </c>
      <c r="P35" s="6">
        <v>7366.78</v>
      </c>
      <c r="Q35" s="5">
        <v>144</v>
      </c>
      <c r="R35" s="7">
        <f t="shared" si="5"/>
        <v>0.0569169960474308</v>
      </c>
      <c r="S35" s="6">
        <f t="shared" si="6"/>
        <v>51.1581944444444</v>
      </c>
      <c r="T35" s="6">
        <v>236536.61</v>
      </c>
      <c r="U35" s="7">
        <f t="shared" si="7"/>
        <v>0.0311443543559705</v>
      </c>
      <c r="V35" s="7">
        <f t="shared" si="8"/>
        <v>0.0167964733685995</v>
      </c>
    </row>
    <row r="36" s="34" customFormat="1" customHeight="1" spans="1:22">
      <c r="A36" s="56" t="s">
        <v>28</v>
      </c>
      <c r="B36" s="7">
        <f t="shared" si="0"/>
        <v>0.0657486290638465</v>
      </c>
      <c r="C36" s="6">
        <f t="shared" si="11"/>
        <v>2714.68824720034</v>
      </c>
      <c r="D36" s="57">
        <f t="shared" si="1"/>
        <v>0.454851171556446</v>
      </c>
      <c r="E36" s="58">
        <f t="shared" si="2"/>
        <v>3253.61175279966</v>
      </c>
      <c r="F36" s="11"/>
      <c r="G36" s="5">
        <v>3404</v>
      </c>
      <c r="H36" s="5">
        <v>11465</v>
      </c>
      <c r="I36" s="5">
        <v>274.58</v>
      </c>
      <c r="J36" s="59">
        <f t="shared" si="3"/>
        <v>0.0806639247943596</v>
      </c>
      <c r="K36" s="6">
        <v>9750.35</v>
      </c>
      <c r="L36" s="6">
        <f t="shared" si="4"/>
        <v>35.5100517153471</v>
      </c>
      <c r="M36" s="11"/>
      <c r="N36" s="5">
        <v>844</v>
      </c>
      <c r="O36" s="5">
        <v>2400</v>
      </c>
      <c r="P36" s="6">
        <v>5968.3</v>
      </c>
      <c r="Q36" s="5">
        <v>122</v>
      </c>
      <c r="R36" s="7">
        <f t="shared" si="5"/>
        <v>0.0508333333333333</v>
      </c>
      <c r="S36" s="6">
        <f t="shared" si="6"/>
        <v>48.9204918032787</v>
      </c>
      <c r="T36" s="6">
        <v>176714.74</v>
      </c>
      <c r="U36" s="7">
        <f t="shared" si="7"/>
        <v>0.0337736399351859</v>
      </c>
      <c r="V36" s="7">
        <f t="shared" si="8"/>
        <v>0.018411660242941</v>
      </c>
    </row>
    <row r="37" s="34" customFormat="1" customHeight="1" spans="1:22">
      <c r="A37" s="56" t="s">
        <v>29</v>
      </c>
      <c r="B37" s="7">
        <f t="shared" si="0"/>
        <v>0.058830678560051</v>
      </c>
      <c r="C37" s="6">
        <f t="shared" si="11"/>
        <v>1216.1208648041</v>
      </c>
      <c r="D37" s="57">
        <f t="shared" si="1"/>
        <v>0.397842463762345</v>
      </c>
      <c r="E37" s="58">
        <f t="shared" si="2"/>
        <v>1840.6691351959</v>
      </c>
      <c r="F37" s="11"/>
      <c r="G37" s="5">
        <v>2920</v>
      </c>
      <c r="H37" s="5">
        <v>9665</v>
      </c>
      <c r="I37" s="5">
        <v>234.92</v>
      </c>
      <c r="J37" s="59">
        <f t="shared" si="3"/>
        <v>0.0804520547945205</v>
      </c>
      <c r="K37" s="6">
        <v>8499.47</v>
      </c>
      <c r="L37" s="6">
        <f t="shared" si="4"/>
        <v>36.180274135876</v>
      </c>
      <c r="M37" s="11"/>
      <c r="N37" s="5">
        <v>541</v>
      </c>
      <c r="O37" s="5">
        <v>2150</v>
      </c>
      <c r="P37" s="6">
        <v>3056.79</v>
      </c>
      <c r="Q37" s="5">
        <v>80</v>
      </c>
      <c r="R37" s="7">
        <f t="shared" si="5"/>
        <v>0.0372093023255814</v>
      </c>
      <c r="S37" s="6">
        <f t="shared" si="6"/>
        <v>38.209875</v>
      </c>
      <c r="T37" s="6">
        <v>128033.72</v>
      </c>
      <c r="U37" s="7">
        <f t="shared" si="7"/>
        <v>0.0238748823356847</v>
      </c>
      <c r="V37" s="7">
        <f t="shared" si="8"/>
        <v>0.0143764403252198</v>
      </c>
    </row>
    <row r="38" s="34" customFormat="1" customHeight="1" spans="1:22">
      <c r="A38" s="56" t="s">
        <v>30</v>
      </c>
      <c r="B38" s="7" t="e">
        <f t="shared" si="0"/>
        <v>#DIV/0!</v>
      </c>
      <c r="C38" s="6" t="e">
        <f t="shared" si="11"/>
        <v>#DIV/0!</v>
      </c>
      <c r="D38" s="57" t="e">
        <f t="shared" si="1"/>
        <v>#DIV/0!</v>
      </c>
      <c r="E38" s="58" t="e">
        <f t="shared" si="2"/>
        <v>#DIV/0!</v>
      </c>
      <c r="F38" s="11"/>
      <c r="G38" s="5"/>
      <c r="H38" s="5"/>
      <c r="I38" s="5"/>
      <c r="J38" s="59" t="e">
        <f t="shared" si="3"/>
        <v>#DIV/0!</v>
      </c>
      <c r="K38" s="6"/>
      <c r="L38" s="6" t="e">
        <f t="shared" si="4"/>
        <v>#DIV/0!</v>
      </c>
      <c r="M38" s="11"/>
      <c r="N38" s="5"/>
      <c r="O38" s="5"/>
      <c r="P38" s="6"/>
      <c r="Q38" s="5"/>
      <c r="R38" s="7" t="e">
        <f t="shared" si="5"/>
        <v>#DIV/0!</v>
      </c>
      <c r="S38" s="6" t="e">
        <f t="shared" si="6"/>
        <v>#DIV/0!</v>
      </c>
      <c r="T38" s="6"/>
      <c r="U38" s="7" t="e">
        <f t="shared" si="7"/>
        <v>#DIV/0!</v>
      </c>
      <c r="V38" s="7" t="e">
        <f t="shared" si="8"/>
        <v>#DIV/0!</v>
      </c>
    </row>
    <row r="39" s="34" customFormat="1" customHeight="1" spans="1:22">
      <c r="A39" s="56" t="s">
        <v>31</v>
      </c>
      <c r="B39" s="7" t="e">
        <f t="shared" si="0"/>
        <v>#DIV/0!</v>
      </c>
      <c r="C39" s="6" t="e">
        <f t="shared" si="11"/>
        <v>#DIV/0!</v>
      </c>
      <c r="D39" s="57" t="e">
        <f t="shared" si="1"/>
        <v>#DIV/0!</v>
      </c>
      <c r="E39" s="58" t="e">
        <f t="shared" si="2"/>
        <v>#DIV/0!</v>
      </c>
      <c r="F39" s="11"/>
      <c r="G39" s="5"/>
      <c r="H39" s="5"/>
      <c r="I39" s="5"/>
      <c r="J39" s="59" t="e">
        <f t="shared" si="3"/>
        <v>#DIV/0!</v>
      </c>
      <c r="K39" s="6"/>
      <c r="L39" s="6" t="e">
        <f t="shared" si="4"/>
        <v>#DIV/0!</v>
      </c>
      <c r="M39" s="11"/>
      <c r="N39" s="5"/>
      <c r="O39" s="5"/>
      <c r="P39" s="6"/>
      <c r="Q39" s="5"/>
      <c r="R39" s="7" t="e">
        <f t="shared" si="5"/>
        <v>#DIV/0!</v>
      </c>
      <c r="S39" s="6" t="e">
        <f t="shared" si="6"/>
        <v>#DIV/0!</v>
      </c>
      <c r="T39" s="6"/>
      <c r="U39" s="7" t="e">
        <f t="shared" si="7"/>
        <v>#DIV/0!</v>
      </c>
      <c r="V39" s="7" t="e">
        <f t="shared" si="8"/>
        <v>#DIV/0!</v>
      </c>
    </row>
    <row r="40" s="34" customFormat="1" customHeight="1" spans="1:22">
      <c r="A40" s="56" t="s">
        <v>32</v>
      </c>
      <c r="B40" s="7" t="e">
        <f t="shared" si="0"/>
        <v>#DIV/0!</v>
      </c>
      <c r="C40" s="6" t="e">
        <f t="shared" si="11"/>
        <v>#DIV/0!</v>
      </c>
      <c r="D40" s="57" t="e">
        <f t="shared" si="1"/>
        <v>#DIV/0!</v>
      </c>
      <c r="E40" s="58" t="e">
        <f t="shared" si="2"/>
        <v>#DIV/0!</v>
      </c>
      <c r="F40" s="11"/>
      <c r="G40" s="5"/>
      <c r="H40" s="5"/>
      <c r="I40" s="5"/>
      <c r="J40" s="59" t="e">
        <f t="shared" si="3"/>
        <v>#DIV/0!</v>
      </c>
      <c r="K40" s="6"/>
      <c r="L40" s="6" t="e">
        <f t="shared" si="4"/>
        <v>#DIV/0!</v>
      </c>
      <c r="M40" s="11"/>
      <c r="N40" s="5"/>
      <c r="O40" s="5"/>
      <c r="P40" s="6"/>
      <c r="Q40" s="5"/>
      <c r="R40" s="7" t="e">
        <f t="shared" si="5"/>
        <v>#DIV/0!</v>
      </c>
      <c r="S40" s="6" t="e">
        <f t="shared" si="6"/>
        <v>#DIV/0!</v>
      </c>
      <c r="T40" s="6"/>
      <c r="U40" s="7" t="e">
        <f t="shared" si="7"/>
        <v>#DIV/0!</v>
      </c>
      <c r="V40" s="7" t="e">
        <f t="shared" si="8"/>
        <v>#DIV/0!</v>
      </c>
    </row>
    <row r="41" s="34" customFormat="1" customHeight="1" spans="1:22">
      <c r="A41" s="56" t="s">
        <v>33</v>
      </c>
      <c r="B41" s="7" t="e">
        <f t="shared" si="0"/>
        <v>#DIV/0!</v>
      </c>
      <c r="C41" s="6" t="e">
        <f t="shared" si="11"/>
        <v>#DIV/0!</v>
      </c>
      <c r="D41" s="57" t="e">
        <f t="shared" si="1"/>
        <v>#DIV/0!</v>
      </c>
      <c r="E41" s="58" t="e">
        <f t="shared" si="2"/>
        <v>#DIV/0!</v>
      </c>
      <c r="F41" s="11"/>
      <c r="G41" s="5"/>
      <c r="H41" s="5"/>
      <c r="I41" s="5"/>
      <c r="J41" s="59" t="e">
        <f t="shared" si="3"/>
        <v>#DIV/0!</v>
      </c>
      <c r="K41" s="6"/>
      <c r="L41" s="6" t="e">
        <f t="shared" si="4"/>
        <v>#DIV/0!</v>
      </c>
      <c r="M41" s="11"/>
      <c r="N41" s="5"/>
      <c r="O41" s="5"/>
      <c r="P41" s="6"/>
      <c r="Q41" s="5"/>
      <c r="R41" s="7" t="e">
        <f t="shared" si="5"/>
        <v>#DIV/0!</v>
      </c>
      <c r="S41" s="6" t="e">
        <f t="shared" si="6"/>
        <v>#DIV/0!</v>
      </c>
      <c r="T41" s="6"/>
      <c r="U41" s="7" t="e">
        <f t="shared" si="7"/>
        <v>#DIV/0!</v>
      </c>
      <c r="V41" s="7" t="e">
        <f t="shared" si="8"/>
        <v>#DIV/0!</v>
      </c>
    </row>
    <row r="42" customHeight="1" spans="1:22">
      <c r="A42" s="61" t="s">
        <v>36</v>
      </c>
      <c r="B42" s="48">
        <f t="shared" si="0"/>
        <v>0.0510235469038661</v>
      </c>
      <c r="C42" s="49">
        <f>C43</f>
        <v>862.602241025593</v>
      </c>
      <c r="D42" s="50">
        <f t="shared" si="1"/>
        <v>0.0273534060078906</v>
      </c>
      <c r="E42" s="51">
        <f t="shared" si="2"/>
        <v>30672.8577589744</v>
      </c>
      <c r="F42" s="52"/>
      <c r="G42" s="53">
        <f>SUM(G43:G54)</f>
        <v>48661</v>
      </c>
      <c r="H42" s="53">
        <f>SUM(H43:H54)</f>
        <v>139610</v>
      </c>
      <c r="I42" s="53">
        <f>SUM(I43:I54)</f>
        <v>3505.27</v>
      </c>
      <c r="J42" s="54">
        <f t="shared" si="3"/>
        <v>0.0720344834672531</v>
      </c>
      <c r="K42" s="55">
        <f>SUM(K43:K54)</f>
        <v>128746.78</v>
      </c>
      <c r="L42" s="49">
        <f t="shared" si="4"/>
        <v>36.7294901676618</v>
      </c>
      <c r="M42" s="52"/>
      <c r="N42" s="53">
        <f>SUM(N43:N54)</f>
        <v>6954</v>
      </c>
      <c r="O42" s="53">
        <f>SUM(O43:O54)</f>
        <v>23790</v>
      </c>
      <c r="P42" s="55">
        <f>SUM(P43:P54)</f>
        <v>31535.46</v>
      </c>
      <c r="Q42" s="53">
        <f>SUM(Q43:Q54)</f>
        <v>714</v>
      </c>
      <c r="R42" s="48">
        <f t="shared" si="5"/>
        <v>0.0300126103404792</v>
      </c>
      <c r="S42" s="49">
        <f t="shared" si="6"/>
        <v>44.1673109243698</v>
      </c>
      <c r="T42" s="49">
        <f>SUM(T43:T54)</f>
        <v>1704487.1</v>
      </c>
      <c r="U42" s="48">
        <f t="shared" si="7"/>
        <v>0.0185014365905145</v>
      </c>
      <c r="V42" s="48">
        <f t="shared" si="8"/>
        <v>0.0179953592837249</v>
      </c>
    </row>
    <row r="43" s="34" customFormat="1" customHeight="1" spans="1:22">
      <c r="A43" s="56" t="s">
        <v>22</v>
      </c>
      <c r="B43" s="7">
        <f t="shared" si="0"/>
        <v>0.0358981494002975</v>
      </c>
      <c r="C43" s="6">
        <f t="shared" ref="C43:C54" si="12">N43*B43*S43</f>
        <v>862.602241025593</v>
      </c>
      <c r="D43" s="57">
        <f t="shared" si="1"/>
        <v>0.92549916422642</v>
      </c>
      <c r="E43" s="58">
        <f t="shared" si="2"/>
        <v>69.4377589744074</v>
      </c>
      <c r="F43" s="11"/>
      <c r="G43" s="5">
        <v>6202</v>
      </c>
      <c r="H43" s="5">
        <v>15620</v>
      </c>
      <c r="I43" s="5">
        <v>381.26</v>
      </c>
      <c r="J43" s="59">
        <f t="shared" si="3"/>
        <v>0.0614737181554337</v>
      </c>
      <c r="K43" s="6">
        <v>11043.47</v>
      </c>
      <c r="L43" s="6">
        <f t="shared" si="4"/>
        <v>28.9657189319624</v>
      </c>
      <c r="M43" s="11"/>
      <c r="N43" s="5">
        <v>825</v>
      </c>
      <c r="O43" s="5">
        <v>3100</v>
      </c>
      <c r="P43" s="6">
        <v>932.04</v>
      </c>
      <c r="Q43" s="5">
        <v>32</v>
      </c>
      <c r="R43" s="7">
        <f t="shared" si="5"/>
        <v>0.0103225806451613</v>
      </c>
      <c r="S43" s="6">
        <f t="shared" si="6"/>
        <v>29.12625</v>
      </c>
      <c r="T43" s="6">
        <v>135312</v>
      </c>
      <c r="U43" s="7">
        <f t="shared" si="7"/>
        <v>0.00688808087974459</v>
      </c>
      <c r="V43" s="7">
        <f t="shared" si="8"/>
        <v>0.000513167782416988</v>
      </c>
    </row>
    <row r="44" s="34" customFormat="1" customHeight="1" spans="1:22">
      <c r="A44" s="56" t="s">
        <v>23</v>
      </c>
      <c r="B44" s="7">
        <f t="shared" si="0"/>
        <v>0.0354025136154168</v>
      </c>
      <c r="C44" s="6">
        <f t="shared" si="12"/>
        <v>662.458859957975</v>
      </c>
      <c r="D44" s="57">
        <f t="shared" si="1"/>
        <v>0.662690801738584</v>
      </c>
      <c r="E44" s="58">
        <f t="shared" si="2"/>
        <v>337.191140042025</v>
      </c>
      <c r="F44" s="11"/>
      <c r="G44" s="5">
        <v>5425</v>
      </c>
      <c r="H44" s="5">
        <v>16874</v>
      </c>
      <c r="I44" s="5">
        <v>320.99</v>
      </c>
      <c r="J44" s="59">
        <f t="shared" si="3"/>
        <v>0.05916866359447</v>
      </c>
      <c r="K44" s="6">
        <v>10265.13</v>
      </c>
      <c r="L44" s="6">
        <f t="shared" si="4"/>
        <v>31.9795943798872</v>
      </c>
      <c r="M44" s="11"/>
      <c r="N44" s="5">
        <v>599</v>
      </c>
      <c r="O44" s="5">
        <v>2750</v>
      </c>
      <c r="P44" s="6">
        <v>999.65</v>
      </c>
      <c r="Q44" s="5">
        <v>32</v>
      </c>
      <c r="R44" s="7">
        <f t="shared" si="5"/>
        <v>0.0116363636363636</v>
      </c>
      <c r="S44" s="6">
        <f t="shared" si="6"/>
        <v>31.2390625</v>
      </c>
      <c r="T44" s="6">
        <v>112489.48</v>
      </c>
      <c r="U44" s="7">
        <f t="shared" si="7"/>
        <v>0.00888660877443829</v>
      </c>
      <c r="V44" s="7">
        <f t="shared" si="8"/>
        <v>0.00299753488096864</v>
      </c>
    </row>
    <row r="45" s="34" customFormat="1" customHeight="1" spans="1:22">
      <c r="A45" s="56" t="s">
        <v>24</v>
      </c>
      <c r="B45" s="7">
        <f t="shared" si="0"/>
        <v>0.0537547771974502</v>
      </c>
      <c r="C45" s="6">
        <f t="shared" si="12"/>
        <v>1876.72300043738</v>
      </c>
      <c r="D45" s="57">
        <f t="shared" si="1"/>
        <v>0.547380962925255</v>
      </c>
      <c r="E45" s="58">
        <f t="shared" si="2"/>
        <v>1551.82699956262</v>
      </c>
      <c r="F45" s="11"/>
      <c r="G45" s="5">
        <v>5537</v>
      </c>
      <c r="H45" s="5">
        <v>11551</v>
      </c>
      <c r="I45" s="5">
        <v>442.92</v>
      </c>
      <c r="J45" s="59">
        <f t="shared" si="3"/>
        <v>0.0799927758714105</v>
      </c>
      <c r="K45" s="6">
        <v>15793.73</v>
      </c>
      <c r="L45" s="6">
        <f t="shared" si="4"/>
        <v>35.6582001264337</v>
      </c>
      <c r="M45" s="11"/>
      <c r="N45" s="5">
        <v>835</v>
      </c>
      <c r="O45" s="5">
        <v>2980</v>
      </c>
      <c r="P45" s="6">
        <v>3428.55</v>
      </c>
      <c r="Q45" s="5">
        <v>82</v>
      </c>
      <c r="R45" s="7">
        <f t="shared" si="5"/>
        <v>0.0275167785234899</v>
      </c>
      <c r="S45" s="6">
        <f t="shared" si="6"/>
        <v>41.8115853658537</v>
      </c>
      <c r="T45" s="6">
        <v>211204.59</v>
      </c>
      <c r="U45" s="7">
        <f t="shared" si="7"/>
        <v>0.016233311974896</v>
      </c>
      <c r="V45" s="7">
        <f t="shared" si="8"/>
        <v>0.00734750603461135</v>
      </c>
    </row>
    <row r="46" s="34" customFormat="1" customHeight="1" spans="1:22">
      <c r="A46" s="56" t="s">
        <v>25</v>
      </c>
      <c r="B46" s="7">
        <f t="shared" si="0"/>
        <v>0.0505841814435564</v>
      </c>
      <c r="C46" s="6">
        <f t="shared" si="12"/>
        <v>2021.03455490336</v>
      </c>
      <c r="D46" s="57">
        <f t="shared" si="1"/>
        <v>0.397751405666702</v>
      </c>
      <c r="E46" s="58">
        <f t="shared" si="2"/>
        <v>3060.11544509664</v>
      </c>
      <c r="F46" s="11"/>
      <c r="G46" s="5">
        <v>5824</v>
      </c>
      <c r="H46" s="5">
        <v>16942</v>
      </c>
      <c r="I46" s="5">
        <v>395.75</v>
      </c>
      <c r="J46" s="59">
        <f t="shared" si="3"/>
        <v>0.0679515796703297</v>
      </c>
      <c r="K46" s="6">
        <v>14964.45</v>
      </c>
      <c r="L46" s="6">
        <f t="shared" si="4"/>
        <v>37.8128869235629</v>
      </c>
      <c r="M46" s="11"/>
      <c r="N46" s="5">
        <v>747</v>
      </c>
      <c r="O46" s="5">
        <v>2860</v>
      </c>
      <c r="P46" s="6">
        <v>5081.15</v>
      </c>
      <c r="Q46" s="5">
        <v>95</v>
      </c>
      <c r="R46" s="7">
        <f t="shared" si="5"/>
        <v>0.0332167832167832</v>
      </c>
      <c r="S46" s="6">
        <f t="shared" si="6"/>
        <v>53.4857894736842</v>
      </c>
      <c r="T46" s="6">
        <v>203616.86</v>
      </c>
      <c r="U46" s="7">
        <f t="shared" si="7"/>
        <v>0.0249544659513952</v>
      </c>
      <c r="V46" s="7">
        <f t="shared" si="8"/>
        <v>0.0150287920415659</v>
      </c>
    </row>
    <row r="47" s="34" customFormat="1" customHeight="1" spans="1:22">
      <c r="A47" s="56" t="s">
        <v>26</v>
      </c>
      <c r="B47" s="7">
        <f t="shared" si="0"/>
        <v>0.0564639411816919</v>
      </c>
      <c r="C47" s="6">
        <f t="shared" si="12"/>
        <v>3439.80980217593</v>
      </c>
      <c r="D47" s="57">
        <f t="shared" si="1"/>
        <v>0.517974997617173</v>
      </c>
      <c r="E47" s="58">
        <f t="shared" si="2"/>
        <v>3201.07019782407</v>
      </c>
      <c r="F47" s="11"/>
      <c r="G47" s="5">
        <v>6733</v>
      </c>
      <c r="H47" s="5">
        <v>19590</v>
      </c>
      <c r="I47" s="5">
        <v>519.31</v>
      </c>
      <c r="J47" s="59">
        <f t="shared" si="3"/>
        <v>0.0771290657953364</v>
      </c>
      <c r="K47" s="6">
        <v>21616.15</v>
      </c>
      <c r="L47" s="6">
        <f t="shared" si="4"/>
        <v>41.6247520748686</v>
      </c>
      <c r="M47" s="11"/>
      <c r="N47" s="5">
        <v>1110</v>
      </c>
      <c r="O47" s="5">
        <v>3380</v>
      </c>
      <c r="P47" s="6">
        <v>6640.88</v>
      </c>
      <c r="Q47" s="5">
        <v>121</v>
      </c>
      <c r="R47" s="7">
        <f t="shared" si="5"/>
        <v>0.0357988165680473</v>
      </c>
      <c r="S47" s="6">
        <f t="shared" si="6"/>
        <v>54.883305785124</v>
      </c>
      <c r="T47" s="6">
        <v>301843.58</v>
      </c>
      <c r="U47" s="7">
        <f t="shared" si="7"/>
        <v>0.0220010642598395</v>
      </c>
      <c r="V47" s="7">
        <f t="shared" si="8"/>
        <v>0.0106050630522739</v>
      </c>
    </row>
    <row r="48" s="34" customFormat="1" customHeight="1" spans="1:22">
      <c r="A48" s="56" t="s">
        <v>27</v>
      </c>
      <c r="B48" s="7">
        <f t="shared" si="0"/>
        <v>0.0665558106172806</v>
      </c>
      <c r="C48" s="6">
        <f t="shared" si="12"/>
        <v>2802.03582476064</v>
      </c>
      <c r="D48" s="57">
        <f t="shared" si="1"/>
        <v>0.513123830242906</v>
      </c>
      <c r="E48" s="58">
        <f t="shared" si="2"/>
        <v>2658.70417523936</v>
      </c>
      <c r="F48" s="11"/>
      <c r="G48" s="5">
        <v>6218</v>
      </c>
      <c r="H48" s="5">
        <v>19220</v>
      </c>
      <c r="I48" s="5">
        <v>534.52</v>
      </c>
      <c r="J48" s="59">
        <f t="shared" si="3"/>
        <v>0.0859633322611772</v>
      </c>
      <c r="K48" s="6">
        <v>20556.19</v>
      </c>
      <c r="L48" s="6">
        <f t="shared" si="4"/>
        <v>38.457288782459</v>
      </c>
      <c r="M48" s="11"/>
      <c r="N48" s="5">
        <v>956</v>
      </c>
      <c r="O48" s="5">
        <v>2630</v>
      </c>
      <c r="P48" s="6">
        <v>5460.74</v>
      </c>
      <c r="Q48" s="5">
        <v>124</v>
      </c>
      <c r="R48" s="7">
        <f t="shared" si="5"/>
        <v>0.047148288973384</v>
      </c>
      <c r="S48" s="6">
        <f t="shared" si="6"/>
        <v>44.0382258064516</v>
      </c>
      <c r="T48" s="6">
        <v>274099.17</v>
      </c>
      <c r="U48" s="7">
        <f t="shared" si="7"/>
        <v>0.0199224973939177</v>
      </c>
      <c r="V48" s="7">
        <f t="shared" si="8"/>
        <v>0.00969978922314634</v>
      </c>
    </row>
    <row r="49" s="34" customFormat="1" customHeight="1" spans="1:22">
      <c r="A49" s="56" t="s">
        <v>28</v>
      </c>
      <c r="B49" s="7">
        <f t="shared" si="0"/>
        <v>0.0546266105858361</v>
      </c>
      <c r="C49" s="6">
        <f t="shared" si="12"/>
        <v>1920.57804898062</v>
      </c>
      <c r="D49" s="57">
        <f t="shared" si="1"/>
        <v>0.436533703892076</v>
      </c>
      <c r="E49" s="58">
        <f t="shared" si="2"/>
        <v>2479.03195101938</v>
      </c>
      <c r="F49" s="11"/>
      <c r="G49" s="5">
        <v>5952</v>
      </c>
      <c r="H49" s="5">
        <v>18160</v>
      </c>
      <c r="I49" s="5">
        <v>416.3</v>
      </c>
      <c r="J49" s="59">
        <f t="shared" si="3"/>
        <v>0.069942876344086</v>
      </c>
      <c r="K49" s="6">
        <v>16883.05</v>
      </c>
      <c r="L49" s="6">
        <f t="shared" si="4"/>
        <v>40.5550084073985</v>
      </c>
      <c r="M49" s="11"/>
      <c r="N49" s="5">
        <v>911</v>
      </c>
      <c r="O49" s="5">
        <v>2900</v>
      </c>
      <c r="P49" s="6">
        <v>4399.61</v>
      </c>
      <c r="Q49" s="5">
        <v>114</v>
      </c>
      <c r="R49" s="7">
        <f t="shared" si="5"/>
        <v>0.0393103448275862</v>
      </c>
      <c r="S49" s="6">
        <f t="shared" si="6"/>
        <v>38.5930701754386</v>
      </c>
      <c r="T49" s="6">
        <v>209866.98</v>
      </c>
      <c r="U49" s="7">
        <f t="shared" si="7"/>
        <v>0.0209638028812346</v>
      </c>
      <c r="V49" s="7">
        <f t="shared" si="8"/>
        <v>0.0118123963618259</v>
      </c>
    </row>
    <row r="50" s="34" customFormat="1" customHeight="1" spans="1:22">
      <c r="A50" s="56" t="s">
        <v>29</v>
      </c>
      <c r="B50" s="7">
        <f t="shared" si="0"/>
        <v>0.054369077110431</v>
      </c>
      <c r="C50" s="6">
        <f t="shared" si="12"/>
        <v>2126.90286337291</v>
      </c>
      <c r="D50" s="57">
        <f t="shared" si="1"/>
        <v>0.463090998896741</v>
      </c>
      <c r="E50" s="58">
        <f t="shared" si="2"/>
        <v>2465.93713662709</v>
      </c>
      <c r="F50" s="11"/>
      <c r="G50" s="5">
        <v>6770</v>
      </c>
      <c r="H50" s="5">
        <v>21653</v>
      </c>
      <c r="I50" s="5">
        <v>494.22</v>
      </c>
      <c r="J50" s="59">
        <f t="shared" si="3"/>
        <v>0.0730014771048745</v>
      </c>
      <c r="K50" s="6">
        <v>17624.61</v>
      </c>
      <c r="L50" s="6">
        <f t="shared" si="4"/>
        <v>35.6614665533568</v>
      </c>
      <c r="M50" s="11"/>
      <c r="N50" s="5">
        <v>971</v>
      </c>
      <c r="O50" s="5">
        <v>3190</v>
      </c>
      <c r="P50" s="6">
        <v>4592.84</v>
      </c>
      <c r="Q50" s="5">
        <v>114</v>
      </c>
      <c r="R50" s="7">
        <f t="shared" si="5"/>
        <v>0.0357366771159875</v>
      </c>
      <c r="S50" s="6">
        <f t="shared" si="6"/>
        <v>40.2880701754386</v>
      </c>
      <c r="T50" s="6">
        <v>256054.44</v>
      </c>
      <c r="U50" s="7">
        <f t="shared" si="7"/>
        <v>0.017936966841895</v>
      </c>
      <c r="V50" s="7">
        <f t="shared" si="8"/>
        <v>0.00963051894990414</v>
      </c>
    </row>
    <row r="51" s="34" customFormat="1" customHeight="1" spans="1:22">
      <c r="A51" s="56" t="s">
        <v>30</v>
      </c>
      <c r="B51" s="7" t="e">
        <f t="shared" si="0"/>
        <v>#DIV/0!</v>
      </c>
      <c r="C51" s="6" t="e">
        <f t="shared" si="12"/>
        <v>#DIV/0!</v>
      </c>
      <c r="D51" s="57" t="e">
        <f t="shared" si="1"/>
        <v>#DIV/0!</v>
      </c>
      <c r="E51" s="58" t="e">
        <f t="shared" si="2"/>
        <v>#DIV/0!</v>
      </c>
      <c r="F51" s="11"/>
      <c r="G51" s="5"/>
      <c r="H51" s="5"/>
      <c r="I51" s="5"/>
      <c r="J51" s="59" t="e">
        <f t="shared" si="3"/>
        <v>#DIV/0!</v>
      </c>
      <c r="K51" s="6"/>
      <c r="L51" s="6" t="e">
        <f t="shared" si="4"/>
        <v>#DIV/0!</v>
      </c>
      <c r="M51" s="11"/>
      <c r="N51" s="5"/>
      <c r="O51" s="5"/>
      <c r="P51" s="6"/>
      <c r="Q51" s="5"/>
      <c r="R51" s="7" t="e">
        <f t="shared" si="5"/>
        <v>#DIV/0!</v>
      </c>
      <c r="S51" s="6" t="e">
        <f t="shared" si="6"/>
        <v>#DIV/0!</v>
      </c>
      <c r="T51" s="6"/>
      <c r="U51" s="7" t="e">
        <f t="shared" si="7"/>
        <v>#DIV/0!</v>
      </c>
      <c r="V51" s="7" t="e">
        <f t="shared" si="8"/>
        <v>#DIV/0!</v>
      </c>
    </row>
    <row r="52" s="34" customFormat="1" customHeight="1" spans="1:22">
      <c r="A52" s="56" t="s">
        <v>31</v>
      </c>
      <c r="B52" s="7" t="e">
        <f t="shared" si="0"/>
        <v>#DIV/0!</v>
      </c>
      <c r="C52" s="6" t="e">
        <f t="shared" si="12"/>
        <v>#DIV/0!</v>
      </c>
      <c r="D52" s="57" t="e">
        <f t="shared" si="1"/>
        <v>#DIV/0!</v>
      </c>
      <c r="E52" s="58" t="e">
        <f t="shared" si="2"/>
        <v>#DIV/0!</v>
      </c>
      <c r="F52" s="11"/>
      <c r="G52" s="5"/>
      <c r="H52" s="5"/>
      <c r="I52" s="5"/>
      <c r="J52" s="59" t="e">
        <f t="shared" si="3"/>
        <v>#DIV/0!</v>
      </c>
      <c r="K52" s="6"/>
      <c r="L52" s="6" t="e">
        <f t="shared" si="4"/>
        <v>#DIV/0!</v>
      </c>
      <c r="M52" s="11"/>
      <c r="N52" s="5"/>
      <c r="O52" s="5"/>
      <c r="P52" s="6"/>
      <c r="Q52" s="5"/>
      <c r="R52" s="7" t="e">
        <f t="shared" si="5"/>
        <v>#DIV/0!</v>
      </c>
      <c r="S52" s="6" t="e">
        <f t="shared" si="6"/>
        <v>#DIV/0!</v>
      </c>
      <c r="T52" s="6"/>
      <c r="U52" s="7" t="e">
        <f t="shared" si="7"/>
        <v>#DIV/0!</v>
      </c>
      <c r="V52" s="7" t="e">
        <f t="shared" si="8"/>
        <v>#DIV/0!</v>
      </c>
    </row>
    <row r="53" s="34" customFormat="1" customHeight="1" spans="1:22">
      <c r="A53" s="56" t="s">
        <v>32</v>
      </c>
      <c r="B53" s="7" t="e">
        <f t="shared" si="0"/>
        <v>#DIV/0!</v>
      </c>
      <c r="C53" s="6" t="e">
        <f t="shared" si="12"/>
        <v>#DIV/0!</v>
      </c>
      <c r="D53" s="57" t="e">
        <f t="shared" si="1"/>
        <v>#DIV/0!</v>
      </c>
      <c r="E53" s="58" t="e">
        <f t="shared" si="2"/>
        <v>#DIV/0!</v>
      </c>
      <c r="F53" s="11"/>
      <c r="G53" s="5"/>
      <c r="H53" s="5"/>
      <c r="I53" s="5"/>
      <c r="J53" s="59" t="e">
        <f t="shared" si="3"/>
        <v>#DIV/0!</v>
      </c>
      <c r="K53" s="6"/>
      <c r="L53" s="6" t="e">
        <f t="shared" si="4"/>
        <v>#DIV/0!</v>
      </c>
      <c r="M53" s="11"/>
      <c r="N53" s="5"/>
      <c r="O53" s="5"/>
      <c r="P53" s="6"/>
      <c r="Q53" s="5"/>
      <c r="R53" s="7" t="e">
        <f t="shared" si="5"/>
        <v>#DIV/0!</v>
      </c>
      <c r="S53" s="6" t="e">
        <f t="shared" si="6"/>
        <v>#DIV/0!</v>
      </c>
      <c r="T53" s="6"/>
      <c r="U53" s="7" t="e">
        <f t="shared" si="7"/>
        <v>#DIV/0!</v>
      </c>
      <c r="V53" s="7" t="e">
        <f t="shared" si="8"/>
        <v>#DIV/0!</v>
      </c>
    </row>
    <row r="54" s="34" customFormat="1" customHeight="1" spans="1:22">
      <c r="A54" s="56" t="s">
        <v>33</v>
      </c>
      <c r="B54" s="7" t="e">
        <f t="shared" si="0"/>
        <v>#DIV/0!</v>
      </c>
      <c r="C54" s="6" t="e">
        <f t="shared" si="12"/>
        <v>#DIV/0!</v>
      </c>
      <c r="D54" s="57" t="e">
        <f t="shared" si="1"/>
        <v>#DIV/0!</v>
      </c>
      <c r="E54" s="58" t="e">
        <f t="shared" si="2"/>
        <v>#DIV/0!</v>
      </c>
      <c r="F54" s="11"/>
      <c r="G54" s="5"/>
      <c r="H54" s="5"/>
      <c r="I54" s="5"/>
      <c r="J54" s="59" t="e">
        <f t="shared" si="3"/>
        <v>#DIV/0!</v>
      </c>
      <c r="K54" s="6"/>
      <c r="L54" s="6" t="e">
        <f t="shared" si="4"/>
        <v>#DIV/0!</v>
      </c>
      <c r="M54" s="11"/>
      <c r="N54" s="5"/>
      <c r="O54" s="5"/>
      <c r="P54" s="6"/>
      <c r="Q54" s="5"/>
      <c r="R54" s="7" t="e">
        <f t="shared" si="5"/>
        <v>#DIV/0!</v>
      </c>
      <c r="S54" s="6" t="e">
        <f t="shared" si="6"/>
        <v>#DIV/0!</v>
      </c>
      <c r="T54" s="6"/>
      <c r="U54" s="7" t="e">
        <f t="shared" si="7"/>
        <v>#DIV/0!</v>
      </c>
      <c r="V54" s="7" t="e">
        <f t="shared" si="8"/>
        <v>#DIV/0!</v>
      </c>
    </row>
    <row r="55" customHeight="1" spans="1:22">
      <c r="A55" s="61" t="s">
        <v>37</v>
      </c>
      <c r="B55" s="48">
        <f t="shared" si="0"/>
        <v>0.0660289319070828</v>
      </c>
      <c r="C55" s="49">
        <f>C56</f>
        <v>513.05696854743</v>
      </c>
      <c r="D55" s="50">
        <f t="shared" si="1"/>
        <v>0.0159243268310765</v>
      </c>
      <c r="E55" s="51">
        <f t="shared" si="2"/>
        <v>31705.3830314526</v>
      </c>
      <c r="F55" s="52"/>
      <c r="G55" s="53">
        <f>SUM(G56:G67)</f>
        <v>26087</v>
      </c>
      <c r="H55" s="53">
        <f>SUM(H56:H67)</f>
        <v>108683</v>
      </c>
      <c r="I55" s="53">
        <f>SUM(I56:I67)</f>
        <v>2483.35</v>
      </c>
      <c r="J55" s="54">
        <f t="shared" si="3"/>
        <v>0.0951949246751255</v>
      </c>
      <c r="K55" s="55">
        <f>SUM(K56:K67)</f>
        <v>91600.22</v>
      </c>
      <c r="L55" s="49">
        <f t="shared" si="4"/>
        <v>36.885747075523</v>
      </c>
      <c r="M55" s="52"/>
      <c r="N55" s="53">
        <f>SUM(N56:N67)</f>
        <v>3426</v>
      </c>
      <c r="O55" s="53">
        <f>SUM(O56:O67)</f>
        <v>20210</v>
      </c>
      <c r="P55" s="55">
        <f>SUM(P56:P67)</f>
        <v>32218.44</v>
      </c>
      <c r="Q55" s="53">
        <f>SUM(Q56:Q67)</f>
        <v>745</v>
      </c>
      <c r="R55" s="48">
        <f t="shared" si="5"/>
        <v>0.0368629391390401</v>
      </c>
      <c r="S55" s="49">
        <f t="shared" si="6"/>
        <v>43.2462281879195</v>
      </c>
      <c r="T55" s="49">
        <f>SUM(T56:T67)</f>
        <v>2016726.3</v>
      </c>
      <c r="U55" s="48">
        <f t="shared" si="7"/>
        <v>0.0159756135475597</v>
      </c>
      <c r="V55" s="48">
        <f t="shared" si="8"/>
        <v>0.0157212126561014</v>
      </c>
    </row>
    <row r="56" s="34" customFormat="1" customHeight="1" spans="1:22">
      <c r="A56" s="56" t="s">
        <v>22</v>
      </c>
      <c r="B56" s="7">
        <f t="shared" si="0"/>
        <v>0.0485071000241475</v>
      </c>
      <c r="C56" s="6">
        <f t="shared" ref="C56:C67" si="13">N56*B56*S56</f>
        <v>513.05696854743</v>
      </c>
      <c r="D56" s="57">
        <f t="shared" si="1"/>
        <v>0.432051611842988</v>
      </c>
      <c r="E56" s="58">
        <f t="shared" si="2"/>
        <v>674.43303145257</v>
      </c>
      <c r="F56" s="11"/>
      <c r="G56" s="5">
        <v>2867</v>
      </c>
      <c r="H56" s="5">
        <v>7886</v>
      </c>
      <c r="I56" s="5">
        <v>218.87</v>
      </c>
      <c r="J56" s="59">
        <f t="shared" si="3"/>
        <v>0.076341123125218</v>
      </c>
      <c r="K56" s="6">
        <v>6965.23</v>
      </c>
      <c r="L56" s="6">
        <f t="shared" si="4"/>
        <v>31.8235939141956</v>
      </c>
      <c r="M56" s="11"/>
      <c r="N56" s="5">
        <v>383</v>
      </c>
      <c r="O56" s="5">
        <v>2080</v>
      </c>
      <c r="P56" s="6">
        <v>1187.49</v>
      </c>
      <c r="Q56" s="5">
        <v>43</v>
      </c>
      <c r="R56" s="7">
        <f t="shared" si="5"/>
        <v>0.0206730769230769</v>
      </c>
      <c r="S56" s="6">
        <f t="shared" si="6"/>
        <v>27.6160465116279</v>
      </c>
      <c r="T56" s="6">
        <v>136606.73</v>
      </c>
      <c r="U56" s="7">
        <f t="shared" si="7"/>
        <v>0.00869276352636506</v>
      </c>
      <c r="V56" s="7">
        <f t="shared" si="8"/>
        <v>0.0049370410334291</v>
      </c>
    </row>
    <row r="57" s="34" customFormat="1" customHeight="1" spans="1:22">
      <c r="A57" s="56" t="s">
        <v>23</v>
      </c>
      <c r="B57" s="7">
        <f t="shared" si="0"/>
        <v>0.0615352439228434</v>
      </c>
      <c r="C57" s="6">
        <f t="shared" si="13"/>
        <v>574.283484811388</v>
      </c>
      <c r="D57" s="57">
        <f t="shared" si="1"/>
        <v>0.259445893296313</v>
      </c>
      <c r="E57" s="58">
        <f t="shared" si="2"/>
        <v>1639.21651518861</v>
      </c>
      <c r="F57" s="11"/>
      <c r="G57" s="5">
        <v>2737</v>
      </c>
      <c r="H57" s="5">
        <v>8447</v>
      </c>
      <c r="I57" s="5">
        <v>242.2</v>
      </c>
      <c r="J57" s="59">
        <f t="shared" si="3"/>
        <v>0.0884910485933504</v>
      </c>
      <c r="K57" s="6">
        <v>8571.33</v>
      </c>
      <c r="L57" s="6">
        <f t="shared" si="4"/>
        <v>35.3894715111478</v>
      </c>
      <c r="M57" s="11"/>
      <c r="N57" s="5">
        <v>312</v>
      </c>
      <c r="O57" s="5">
        <v>2140</v>
      </c>
      <c r="P57" s="6">
        <v>2213.5</v>
      </c>
      <c r="Q57" s="5">
        <v>74</v>
      </c>
      <c r="R57" s="7">
        <f t="shared" si="5"/>
        <v>0.0345794392523364</v>
      </c>
      <c r="S57" s="6">
        <f t="shared" si="6"/>
        <v>29.9121621621622</v>
      </c>
      <c r="T57" s="6">
        <v>148006.9</v>
      </c>
      <c r="U57" s="7">
        <f t="shared" si="7"/>
        <v>0.0149553838368346</v>
      </c>
      <c r="V57" s="7">
        <f t="shared" si="8"/>
        <v>0.0110752709176978</v>
      </c>
    </row>
    <row r="58" s="34" customFormat="1" customHeight="1" spans="1:22">
      <c r="A58" s="56" t="s">
        <v>24</v>
      </c>
      <c r="B58" s="7">
        <f t="shared" si="0"/>
        <v>0.0673964339098868</v>
      </c>
      <c r="C58" s="6">
        <f t="shared" si="13"/>
        <v>1041.36766508064</v>
      </c>
      <c r="D58" s="57">
        <f t="shared" si="1"/>
        <v>0.33607140692903</v>
      </c>
      <c r="E58" s="58">
        <f t="shared" si="2"/>
        <v>2057.28233491936</v>
      </c>
      <c r="F58" s="11"/>
      <c r="G58" s="5">
        <v>3122</v>
      </c>
      <c r="H58" s="5">
        <v>10036</v>
      </c>
      <c r="I58" s="5">
        <v>310.81</v>
      </c>
      <c r="J58" s="59">
        <f t="shared" si="3"/>
        <v>0.0995547725816784</v>
      </c>
      <c r="K58" s="6">
        <v>11604.05</v>
      </c>
      <c r="L58" s="6">
        <f t="shared" si="4"/>
        <v>37.3348669605225</v>
      </c>
      <c r="M58" s="11"/>
      <c r="N58" s="5">
        <v>369</v>
      </c>
      <c r="O58" s="5">
        <v>2100</v>
      </c>
      <c r="P58" s="6">
        <v>3098.65</v>
      </c>
      <c r="Q58" s="5">
        <v>74</v>
      </c>
      <c r="R58" s="7">
        <f t="shared" si="5"/>
        <v>0.0352380952380952</v>
      </c>
      <c r="S58" s="6">
        <f t="shared" si="6"/>
        <v>41.8736486486486</v>
      </c>
      <c r="T58" s="6">
        <v>233507.78</v>
      </c>
      <c r="U58" s="7">
        <f t="shared" si="7"/>
        <v>0.0132700075346526</v>
      </c>
      <c r="V58" s="7">
        <f t="shared" si="8"/>
        <v>0.00881033743252306</v>
      </c>
    </row>
    <row r="59" s="34" customFormat="1" customHeight="1" spans="1:22">
      <c r="A59" s="56" t="s">
        <v>25</v>
      </c>
      <c r="B59" s="7">
        <f t="shared" si="0"/>
        <v>0.0666043301077566</v>
      </c>
      <c r="C59" s="6">
        <f t="shared" si="13"/>
        <v>1177.98769274932</v>
      </c>
      <c r="D59" s="57">
        <f t="shared" si="1"/>
        <v>0.34080657223969</v>
      </c>
      <c r="E59" s="58">
        <f t="shared" si="2"/>
        <v>2278.48230725068</v>
      </c>
      <c r="F59" s="11"/>
      <c r="G59" s="5">
        <v>3196</v>
      </c>
      <c r="H59" s="5">
        <v>10884</v>
      </c>
      <c r="I59" s="5">
        <v>305.69</v>
      </c>
      <c r="J59" s="59">
        <f t="shared" si="3"/>
        <v>0.0956476846057572</v>
      </c>
      <c r="K59" s="6">
        <v>10691.44</v>
      </c>
      <c r="L59" s="6">
        <f t="shared" si="4"/>
        <v>34.9747783702444</v>
      </c>
      <c r="M59" s="11"/>
      <c r="N59" s="5">
        <v>394</v>
      </c>
      <c r="O59" s="5">
        <v>2050</v>
      </c>
      <c r="P59" s="6">
        <v>3456.47</v>
      </c>
      <c r="Q59" s="5">
        <v>77</v>
      </c>
      <c r="R59" s="7">
        <f t="shared" si="5"/>
        <v>0.0375609756097561</v>
      </c>
      <c r="S59" s="6">
        <f t="shared" si="6"/>
        <v>44.8892207792208</v>
      </c>
      <c r="T59" s="6">
        <v>259531.24</v>
      </c>
      <c r="U59" s="7">
        <f t="shared" si="7"/>
        <v>0.0133181269430224</v>
      </c>
      <c r="V59" s="7">
        <f t="shared" si="8"/>
        <v>0.00877922175091784</v>
      </c>
    </row>
    <row r="60" s="34" customFormat="1" customHeight="1" spans="1:22">
      <c r="A60" s="56" t="s">
        <v>26</v>
      </c>
      <c r="B60" s="7">
        <f t="shared" si="0"/>
        <v>0.0717726755209289</v>
      </c>
      <c r="C60" s="6">
        <f t="shared" si="13"/>
        <v>1927.140107303</v>
      </c>
      <c r="D60" s="57">
        <f t="shared" si="1"/>
        <v>0.347097365224164</v>
      </c>
      <c r="E60" s="58">
        <f t="shared" si="2"/>
        <v>3625.019892697</v>
      </c>
      <c r="F60" s="11"/>
      <c r="G60" s="5">
        <v>3762</v>
      </c>
      <c r="H60" s="5">
        <v>17360</v>
      </c>
      <c r="I60" s="5">
        <v>404.63</v>
      </c>
      <c r="J60" s="59">
        <f t="shared" si="3"/>
        <v>0.107557150451887</v>
      </c>
      <c r="K60" s="6">
        <v>15331.97</v>
      </c>
      <c r="L60" s="6">
        <f t="shared" si="4"/>
        <v>37.8913328225787</v>
      </c>
      <c r="M60" s="11"/>
      <c r="N60" s="5">
        <v>590</v>
      </c>
      <c r="O60" s="5">
        <v>3390</v>
      </c>
      <c r="P60" s="6">
        <v>5552.16</v>
      </c>
      <c r="Q60" s="5">
        <v>122</v>
      </c>
      <c r="R60" s="7">
        <f t="shared" si="5"/>
        <v>0.0359882005899705</v>
      </c>
      <c r="S60" s="6">
        <f t="shared" si="6"/>
        <v>45.5095081967213</v>
      </c>
      <c r="T60" s="6">
        <v>364816.86</v>
      </c>
      <c r="U60" s="7">
        <f t="shared" si="7"/>
        <v>0.0152190334624337</v>
      </c>
      <c r="V60" s="7">
        <f t="shared" si="8"/>
        <v>0.00993654704636459</v>
      </c>
    </row>
    <row r="61" s="34" customFormat="1" customHeight="1" spans="1:22">
      <c r="A61" s="56" t="s">
        <v>27</v>
      </c>
      <c r="B61" s="7">
        <f t="shared" si="0"/>
        <v>0.0765944702342867</v>
      </c>
      <c r="C61" s="6">
        <f t="shared" si="13"/>
        <v>2125.88872723231</v>
      </c>
      <c r="D61" s="57">
        <f t="shared" si="1"/>
        <v>0.29910625401617</v>
      </c>
      <c r="E61" s="58">
        <f t="shared" si="2"/>
        <v>4981.58127276769</v>
      </c>
      <c r="F61" s="11"/>
      <c r="G61" s="5">
        <v>4321</v>
      </c>
      <c r="H61" s="5">
        <v>20470</v>
      </c>
      <c r="I61" s="5">
        <v>461.13</v>
      </c>
      <c r="J61" s="59">
        <f t="shared" si="3"/>
        <v>0.106718352233279</v>
      </c>
      <c r="K61" s="6">
        <v>17313.08</v>
      </c>
      <c r="L61" s="6">
        <f t="shared" si="4"/>
        <v>37.5449005703381</v>
      </c>
      <c r="M61" s="11"/>
      <c r="N61" s="5">
        <v>617</v>
      </c>
      <c r="O61" s="5">
        <v>3400</v>
      </c>
      <c r="P61" s="6">
        <v>7107.47</v>
      </c>
      <c r="Q61" s="5">
        <v>158</v>
      </c>
      <c r="R61" s="7">
        <f t="shared" si="5"/>
        <v>0.0464705882352941</v>
      </c>
      <c r="S61" s="6">
        <f t="shared" si="6"/>
        <v>44.9839873417722</v>
      </c>
      <c r="T61" s="6">
        <v>383968.62</v>
      </c>
      <c r="U61" s="7">
        <f t="shared" si="7"/>
        <v>0.018510549117269</v>
      </c>
      <c r="V61" s="7">
        <f t="shared" si="8"/>
        <v>0.0129739281110203</v>
      </c>
    </row>
    <row r="62" s="34" customFormat="1" customHeight="1" spans="1:22">
      <c r="A62" s="56" t="s">
        <v>28</v>
      </c>
      <c r="B62" s="7">
        <f t="shared" si="0"/>
        <v>0.0653439455369685</v>
      </c>
      <c r="C62" s="6">
        <f t="shared" si="13"/>
        <v>1351.81150254061</v>
      </c>
      <c r="D62" s="57">
        <f t="shared" si="1"/>
        <v>0.268422678235194</v>
      </c>
      <c r="E62" s="58">
        <f t="shared" si="2"/>
        <v>3684.31849745939</v>
      </c>
      <c r="F62" s="11"/>
      <c r="G62" s="5">
        <v>3056</v>
      </c>
      <c r="H62" s="5">
        <v>16044</v>
      </c>
      <c r="I62" s="5">
        <v>272.67</v>
      </c>
      <c r="J62" s="59">
        <f t="shared" si="3"/>
        <v>0.0892244764397906</v>
      </c>
      <c r="K62" s="6">
        <v>11307.91</v>
      </c>
      <c r="L62" s="6">
        <f t="shared" si="4"/>
        <v>41.4710455862398</v>
      </c>
      <c r="M62" s="11"/>
      <c r="N62" s="5">
        <v>419</v>
      </c>
      <c r="O62" s="5">
        <v>2460</v>
      </c>
      <c r="P62" s="6">
        <v>5036.13</v>
      </c>
      <c r="Q62" s="5">
        <v>102</v>
      </c>
      <c r="R62" s="7">
        <f t="shared" si="5"/>
        <v>0.0414634146341463</v>
      </c>
      <c r="S62" s="6">
        <f t="shared" si="6"/>
        <v>49.3738235294118</v>
      </c>
      <c r="T62" s="6">
        <v>268769.07</v>
      </c>
      <c r="U62" s="7">
        <f t="shared" si="7"/>
        <v>0.0187377587755913</v>
      </c>
      <c r="V62" s="7">
        <f t="shared" si="8"/>
        <v>0.013708119380922</v>
      </c>
    </row>
    <row r="63" s="34" customFormat="1" customHeight="1" spans="1:22">
      <c r="A63" s="56" t="s">
        <v>29</v>
      </c>
      <c r="B63" s="7">
        <f t="shared" si="0"/>
        <v>0.0625152475202046</v>
      </c>
      <c r="C63" s="6">
        <f t="shared" si="13"/>
        <v>1027.72891392603</v>
      </c>
      <c r="D63" s="57">
        <f t="shared" si="1"/>
        <v>0.225054891072736</v>
      </c>
      <c r="E63" s="58">
        <f t="shared" si="2"/>
        <v>3538.84108607397</v>
      </c>
      <c r="F63" s="11"/>
      <c r="G63" s="5">
        <v>3026</v>
      </c>
      <c r="H63" s="5">
        <v>17556</v>
      </c>
      <c r="I63" s="5">
        <v>267.35</v>
      </c>
      <c r="J63" s="59">
        <f t="shared" si="3"/>
        <v>0.0883509583608724</v>
      </c>
      <c r="K63" s="6">
        <v>9815.21</v>
      </c>
      <c r="L63" s="6">
        <f t="shared" si="4"/>
        <v>36.7129605386198</v>
      </c>
      <c r="M63" s="11"/>
      <c r="N63" s="5">
        <v>342</v>
      </c>
      <c r="O63" s="5">
        <v>2590</v>
      </c>
      <c r="P63" s="6">
        <v>4566.57</v>
      </c>
      <c r="Q63" s="5">
        <v>95</v>
      </c>
      <c r="R63" s="7">
        <f t="shared" si="5"/>
        <v>0.0366795366795367</v>
      </c>
      <c r="S63" s="6">
        <f t="shared" si="6"/>
        <v>48.0691578947368</v>
      </c>
      <c r="T63" s="6">
        <v>221519.1</v>
      </c>
      <c r="U63" s="7">
        <f t="shared" si="7"/>
        <v>0.0206147912301919</v>
      </c>
      <c r="V63" s="7">
        <f t="shared" si="8"/>
        <v>0.0159753316353938</v>
      </c>
    </row>
    <row r="64" s="34" customFormat="1" customHeight="1" spans="1:22">
      <c r="A64" s="56" t="s">
        <v>30</v>
      </c>
      <c r="B64" s="7" t="e">
        <f t="shared" si="0"/>
        <v>#DIV/0!</v>
      </c>
      <c r="C64" s="6" t="e">
        <f t="shared" si="13"/>
        <v>#DIV/0!</v>
      </c>
      <c r="D64" s="57" t="e">
        <f t="shared" si="1"/>
        <v>#DIV/0!</v>
      </c>
      <c r="E64" s="58" t="e">
        <f t="shared" si="2"/>
        <v>#DIV/0!</v>
      </c>
      <c r="F64" s="11"/>
      <c r="G64" s="5"/>
      <c r="H64" s="5"/>
      <c r="I64" s="5"/>
      <c r="J64" s="59" t="e">
        <f t="shared" si="3"/>
        <v>#DIV/0!</v>
      </c>
      <c r="K64" s="6"/>
      <c r="L64" s="6" t="e">
        <f t="shared" si="4"/>
        <v>#DIV/0!</v>
      </c>
      <c r="M64" s="11"/>
      <c r="N64" s="5"/>
      <c r="O64" s="5"/>
      <c r="P64" s="6"/>
      <c r="Q64" s="5"/>
      <c r="R64" s="7" t="e">
        <f t="shared" si="5"/>
        <v>#DIV/0!</v>
      </c>
      <c r="S64" s="6" t="e">
        <f t="shared" si="6"/>
        <v>#DIV/0!</v>
      </c>
      <c r="T64" s="6"/>
      <c r="U64" s="7" t="e">
        <f t="shared" si="7"/>
        <v>#DIV/0!</v>
      </c>
      <c r="V64" s="7" t="e">
        <f t="shared" si="8"/>
        <v>#DIV/0!</v>
      </c>
    </row>
    <row r="65" s="34" customFormat="1" customHeight="1" spans="1:22">
      <c r="A65" s="56" t="s">
        <v>31</v>
      </c>
      <c r="B65" s="7" t="e">
        <f t="shared" si="0"/>
        <v>#DIV/0!</v>
      </c>
      <c r="C65" s="6" t="e">
        <f t="shared" si="13"/>
        <v>#DIV/0!</v>
      </c>
      <c r="D65" s="57" t="e">
        <f t="shared" si="1"/>
        <v>#DIV/0!</v>
      </c>
      <c r="E65" s="58" t="e">
        <f t="shared" si="2"/>
        <v>#DIV/0!</v>
      </c>
      <c r="F65" s="11"/>
      <c r="G65" s="5"/>
      <c r="H65" s="5"/>
      <c r="I65" s="5"/>
      <c r="J65" s="59" t="e">
        <f t="shared" si="3"/>
        <v>#DIV/0!</v>
      </c>
      <c r="K65" s="6"/>
      <c r="L65" s="6" t="e">
        <f t="shared" si="4"/>
        <v>#DIV/0!</v>
      </c>
      <c r="M65" s="11"/>
      <c r="N65" s="5"/>
      <c r="O65" s="5"/>
      <c r="P65" s="6"/>
      <c r="Q65" s="5"/>
      <c r="R65" s="7" t="e">
        <f t="shared" si="5"/>
        <v>#DIV/0!</v>
      </c>
      <c r="S65" s="6" t="e">
        <f t="shared" si="6"/>
        <v>#DIV/0!</v>
      </c>
      <c r="T65" s="6"/>
      <c r="U65" s="7" t="e">
        <f t="shared" si="7"/>
        <v>#DIV/0!</v>
      </c>
      <c r="V65" s="7" t="e">
        <f t="shared" si="8"/>
        <v>#DIV/0!</v>
      </c>
    </row>
    <row r="66" s="34" customFormat="1" customHeight="1" spans="1:22">
      <c r="A66" s="56" t="s">
        <v>32</v>
      </c>
      <c r="B66" s="7" t="e">
        <f t="shared" si="0"/>
        <v>#DIV/0!</v>
      </c>
      <c r="C66" s="6" t="e">
        <f t="shared" si="13"/>
        <v>#DIV/0!</v>
      </c>
      <c r="D66" s="57" t="e">
        <f t="shared" si="1"/>
        <v>#DIV/0!</v>
      </c>
      <c r="E66" s="58" t="e">
        <f t="shared" si="2"/>
        <v>#DIV/0!</v>
      </c>
      <c r="F66" s="11"/>
      <c r="G66" s="5"/>
      <c r="H66" s="5"/>
      <c r="I66" s="5"/>
      <c r="J66" s="59" t="e">
        <f t="shared" si="3"/>
        <v>#DIV/0!</v>
      </c>
      <c r="K66" s="6"/>
      <c r="L66" s="6" t="e">
        <f t="shared" si="4"/>
        <v>#DIV/0!</v>
      </c>
      <c r="M66" s="11"/>
      <c r="N66" s="5"/>
      <c r="O66" s="5"/>
      <c r="P66" s="6"/>
      <c r="Q66" s="5"/>
      <c r="R66" s="7" t="e">
        <f t="shared" si="5"/>
        <v>#DIV/0!</v>
      </c>
      <c r="S66" s="6" t="e">
        <f t="shared" si="6"/>
        <v>#DIV/0!</v>
      </c>
      <c r="T66" s="6"/>
      <c r="U66" s="7" t="e">
        <f t="shared" si="7"/>
        <v>#DIV/0!</v>
      </c>
      <c r="V66" s="7" t="e">
        <f t="shared" si="8"/>
        <v>#DIV/0!</v>
      </c>
    </row>
    <row r="67" s="34" customFormat="1" customHeight="1" spans="1:22">
      <c r="A67" s="56" t="s">
        <v>33</v>
      </c>
      <c r="B67" s="7" t="e">
        <f t="shared" ref="B67:B94" si="14">R67+(J67-R67)/2</f>
        <v>#DIV/0!</v>
      </c>
      <c r="C67" s="6" t="e">
        <f t="shared" si="13"/>
        <v>#DIV/0!</v>
      </c>
      <c r="D67" s="57" t="e">
        <f t="shared" ref="D67:D94" si="15">C67/P67</f>
        <v>#DIV/0!</v>
      </c>
      <c r="E67" s="58" t="e">
        <f t="shared" ref="E67:E94" si="16">P67-C67</f>
        <v>#DIV/0!</v>
      </c>
      <c r="F67" s="11"/>
      <c r="G67" s="5"/>
      <c r="H67" s="5"/>
      <c r="I67" s="5"/>
      <c r="J67" s="59" t="e">
        <f t="shared" ref="J67:J94" si="17">I67/G67</f>
        <v>#DIV/0!</v>
      </c>
      <c r="K67" s="6"/>
      <c r="L67" s="6" t="e">
        <f t="shared" ref="L67:L94" si="18">K67/I67</f>
        <v>#DIV/0!</v>
      </c>
      <c r="M67" s="11"/>
      <c r="N67" s="5"/>
      <c r="O67" s="5"/>
      <c r="P67" s="6"/>
      <c r="Q67" s="5"/>
      <c r="R67" s="7" t="e">
        <f t="shared" ref="R67:R94" si="19">Q67/O67</f>
        <v>#DIV/0!</v>
      </c>
      <c r="S67" s="6" t="e">
        <f t="shared" ref="S67:S94" si="20">P67/Q67</f>
        <v>#DIV/0!</v>
      </c>
      <c r="T67" s="6"/>
      <c r="U67" s="7" t="e">
        <f t="shared" ref="U67:U94" si="21">P67/T67</f>
        <v>#DIV/0!</v>
      </c>
      <c r="V67" s="7" t="e">
        <f t="shared" ref="V67:V94" si="22">E67/T67</f>
        <v>#DIV/0!</v>
      </c>
    </row>
    <row r="68" customHeight="1" spans="1:22">
      <c r="A68" s="61" t="s">
        <v>38</v>
      </c>
      <c r="B68" s="48">
        <f t="shared" si="14"/>
        <v>0.04274944060171</v>
      </c>
      <c r="C68" s="49" t="e">
        <f>#REF!</f>
        <v>#REF!</v>
      </c>
      <c r="D68" s="50" t="e">
        <f t="shared" si="15"/>
        <v>#REF!</v>
      </c>
      <c r="E68" s="51" t="e">
        <f t="shared" si="16"/>
        <v>#REF!</v>
      </c>
      <c r="F68" s="52"/>
      <c r="G68" s="53">
        <f>SUM(G69:G76)</f>
        <v>1681</v>
      </c>
      <c r="H68" s="53">
        <f>SUM(H69:H76)</f>
        <v>5693</v>
      </c>
      <c r="I68" s="53">
        <f>SUM(I69:I76)</f>
        <v>107.67</v>
      </c>
      <c r="J68" s="54">
        <f t="shared" si="17"/>
        <v>0.0640511600237954</v>
      </c>
      <c r="K68" s="55">
        <f>SUM(K69:K76)</f>
        <v>4429.71</v>
      </c>
      <c r="L68" s="49">
        <f t="shared" si="18"/>
        <v>41.1415436054611</v>
      </c>
      <c r="M68" s="52"/>
      <c r="N68" s="53">
        <f>SUM(N69:N76)</f>
        <v>150</v>
      </c>
      <c r="O68" s="53">
        <f>SUM(O69:O76)</f>
        <v>373</v>
      </c>
      <c r="P68" s="55">
        <f>SUM(P69:P76)</f>
        <v>559.44</v>
      </c>
      <c r="Q68" s="53">
        <f>SUM(Q69:Q76)</f>
        <v>8</v>
      </c>
      <c r="R68" s="48">
        <f t="shared" si="19"/>
        <v>0.0214477211796247</v>
      </c>
      <c r="S68" s="49">
        <f t="shared" si="20"/>
        <v>69.93</v>
      </c>
      <c r="T68" s="49">
        <f>SUM(T69:T76)</f>
        <v>194216.87</v>
      </c>
      <c r="U68" s="48">
        <f t="shared" si="21"/>
        <v>0.00288049127761147</v>
      </c>
      <c r="V68" s="48" t="e">
        <f t="shared" si="22"/>
        <v>#REF!</v>
      </c>
    </row>
    <row r="69" s="34" customFormat="1" customHeight="1" spans="1:22">
      <c r="A69" s="56" t="s">
        <v>26</v>
      </c>
      <c r="B69" s="7">
        <f t="shared" si="14"/>
        <v>0.0477096088161371</v>
      </c>
      <c r="C69" s="6">
        <f t="shared" ref="C69:C76" si="23">N69*B69*S69</f>
        <v>117.645693091448</v>
      </c>
      <c r="D69" s="57">
        <f t="shared" si="15"/>
        <v>0.691789327833988</v>
      </c>
      <c r="E69" s="58">
        <f t="shared" si="16"/>
        <v>52.4143069085519</v>
      </c>
      <c r="F69" s="11"/>
      <c r="G69" s="5">
        <v>263</v>
      </c>
      <c r="H69" s="5">
        <v>813</v>
      </c>
      <c r="I69" s="5">
        <v>16.18</v>
      </c>
      <c r="J69" s="59">
        <f t="shared" si="17"/>
        <v>0.0615209125475285</v>
      </c>
      <c r="K69" s="6">
        <v>506.23</v>
      </c>
      <c r="L69" s="6">
        <f t="shared" si="18"/>
        <v>31.28739184178</v>
      </c>
      <c r="M69" s="11"/>
      <c r="N69" s="5">
        <v>29</v>
      </c>
      <c r="O69" s="5">
        <v>59</v>
      </c>
      <c r="P69" s="6">
        <v>170.06</v>
      </c>
      <c r="Q69" s="5">
        <v>2</v>
      </c>
      <c r="R69" s="7">
        <f t="shared" si="19"/>
        <v>0.0338983050847458</v>
      </c>
      <c r="S69" s="6">
        <f t="shared" si="20"/>
        <v>85.03</v>
      </c>
      <c r="T69" s="6">
        <v>30108.21</v>
      </c>
      <c r="U69" s="7">
        <f t="shared" si="21"/>
        <v>0.00564829327283156</v>
      </c>
      <c r="V69" s="7">
        <f t="shared" si="22"/>
        <v>0.00174086426621018</v>
      </c>
    </row>
    <row r="70" s="34" customFormat="1" customHeight="1" spans="1:22">
      <c r="A70" s="56" t="s">
        <v>27</v>
      </c>
      <c r="B70" s="7">
        <f t="shared" si="14"/>
        <v>0.045642687794484</v>
      </c>
      <c r="C70" s="6">
        <f t="shared" si="23"/>
        <v>86.3231025719516</v>
      </c>
      <c r="D70" s="57">
        <f t="shared" si="15"/>
        <v>2.14520632634075</v>
      </c>
      <c r="E70" s="58">
        <f t="shared" si="16"/>
        <v>-46.0831025719516</v>
      </c>
      <c r="F70" s="11"/>
      <c r="G70" s="5">
        <v>383</v>
      </c>
      <c r="H70" s="5">
        <v>1322</v>
      </c>
      <c r="I70" s="5">
        <v>30.56</v>
      </c>
      <c r="J70" s="59">
        <f t="shared" si="17"/>
        <v>0.0797911227154047</v>
      </c>
      <c r="K70" s="6">
        <v>1516.49</v>
      </c>
      <c r="L70" s="6">
        <f t="shared" si="18"/>
        <v>49.6233638743456</v>
      </c>
      <c r="M70" s="11"/>
      <c r="N70" s="5">
        <v>47</v>
      </c>
      <c r="O70" s="5">
        <v>87</v>
      </c>
      <c r="P70" s="6">
        <v>40.24</v>
      </c>
      <c r="Q70" s="5">
        <v>1</v>
      </c>
      <c r="R70" s="7">
        <f t="shared" si="19"/>
        <v>0.0114942528735632</v>
      </c>
      <c r="S70" s="6">
        <f t="shared" si="20"/>
        <v>40.24</v>
      </c>
      <c r="T70" s="6">
        <v>47112.77</v>
      </c>
      <c r="U70" s="7">
        <f t="shared" si="21"/>
        <v>0.00085412086786661</v>
      </c>
      <c r="V70" s="7">
        <f t="shared" si="22"/>
        <v>-0.000978144621340491</v>
      </c>
    </row>
    <row r="71" s="34" customFormat="1" customHeight="1" spans="1:22">
      <c r="A71" s="56" t="s">
        <v>28</v>
      </c>
      <c r="B71" s="7">
        <f t="shared" si="14"/>
        <v>0.0471022583100736</v>
      </c>
      <c r="C71" s="6">
        <f t="shared" si="23"/>
        <v>140.881088270743</v>
      </c>
      <c r="D71" s="57">
        <f t="shared" si="15"/>
        <v>0.553451535143365</v>
      </c>
      <c r="E71" s="58">
        <f t="shared" si="16"/>
        <v>113.668911729257</v>
      </c>
      <c r="F71" s="11"/>
      <c r="G71" s="5">
        <v>563</v>
      </c>
      <c r="H71" s="5">
        <v>1927</v>
      </c>
      <c r="I71" s="5">
        <v>32.93</v>
      </c>
      <c r="J71" s="59">
        <f t="shared" si="17"/>
        <v>0.0584902309058615</v>
      </c>
      <c r="K71" s="6">
        <v>1478.56</v>
      </c>
      <c r="L71" s="6">
        <f t="shared" si="18"/>
        <v>44.9000911023383</v>
      </c>
      <c r="M71" s="11"/>
      <c r="N71" s="5">
        <v>47</v>
      </c>
      <c r="O71" s="5">
        <v>112</v>
      </c>
      <c r="P71" s="6">
        <v>254.55</v>
      </c>
      <c r="Q71" s="5">
        <v>4</v>
      </c>
      <c r="R71" s="7">
        <f t="shared" si="19"/>
        <v>0.0357142857142857</v>
      </c>
      <c r="S71" s="6">
        <f t="shared" si="20"/>
        <v>63.6375</v>
      </c>
      <c r="T71" s="6">
        <v>55298.42</v>
      </c>
      <c r="U71" s="7">
        <f t="shared" si="21"/>
        <v>0.00460320566121057</v>
      </c>
      <c r="V71" s="7">
        <f t="shared" si="22"/>
        <v>0.00205555442143295</v>
      </c>
    </row>
    <row r="72" s="34" customFormat="1" customHeight="1" spans="1:22">
      <c r="A72" s="56" t="s">
        <v>29</v>
      </c>
      <c r="B72" s="7">
        <f t="shared" si="14"/>
        <v>0.0340088430361091</v>
      </c>
      <c r="C72" s="6">
        <f t="shared" si="23"/>
        <v>86.85620449521</v>
      </c>
      <c r="D72" s="57">
        <f t="shared" si="15"/>
        <v>0.918238761974945</v>
      </c>
      <c r="E72" s="58">
        <f t="shared" si="16"/>
        <v>7.73379550478998</v>
      </c>
      <c r="F72" s="11"/>
      <c r="G72" s="5">
        <v>472</v>
      </c>
      <c r="H72" s="5">
        <v>1631</v>
      </c>
      <c r="I72" s="5">
        <v>28</v>
      </c>
      <c r="J72" s="59">
        <f t="shared" si="17"/>
        <v>0.0593220338983051</v>
      </c>
      <c r="K72" s="6">
        <v>928.43</v>
      </c>
      <c r="L72" s="6">
        <f t="shared" si="18"/>
        <v>33.1582142857143</v>
      </c>
      <c r="M72" s="11"/>
      <c r="N72" s="5">
        <v>27</v>
      </c>
      <c r="O72" s="5">
        <v>115</v>
      </c>
      <c r="P72" s="6">
        <v>94.59</v>
      </c>
      <c r="Q72" s="5">
        <v>1</v>
      </c>
      <c r="R72" s="7">
        <f t="shared" si="19"/>
        <v>0.00869565217391304</v>
      </c>
      <c r="S72" s="6">
        <f t="shared" si="20"/>
        <v>94.59</v>
      </c>
      <c r="T72" s="6">
        <v>61697.47</v>
      </c>
      <c r="U72" s="7">
        <f t="shared" si="21"/>
        <v>0.00153312607469966</v>
      </c>
      <c r="V72" s="7">
        <f t="shared" si="22"/>
        <v>0.000125350285915938</v>
      </c>
    </row>
    <row r="73" s="34" customFormat="1" customHeight="1" spans="1:22">
      <c r="A73" s="56" t="s">
        <v>30</v>
      </c>
      <c r="B73" s="7" t="e">
        <f t="shared" si="14"/>
        <v>#DIV/0!</v>
      </c>
      <c r="C73" s="6" t="e">
        <f t="shared" si="23"/>
        <v>#DIV/0!</v>
      </c>
      <c r="D73" s="57" t="e">
        <f t="shared" si="15"/>
        <v>#DIV/0!</v>
      </c>
      <c r="E73" s="58" t="e">
        <f t="shared" si="16"/>
        <v>#DIV/0!</v>
      </c>
      <c r="F73" s="11"/>
      <c r="G73" s="5"/>
      <c r="H73" s="5"/>
      <c r="I73" s="5"/>
      <c r="J73" s="59" t="e">
        <f t="shared" si="17"/>
        <v>#DIV/0!</v>
      </c>
      <c r="K73" s="6"/>
      <c r="L73" s="6" t="e">
        <f t="shared" si="18"/>
        <v>#DIV/0!</v>
      </c>
      <c r="M73" s="11"/>
      <c r="N73" s="5"/>
      <c r="O73" s="5"/>
      <c r="P73" s="6"/>
      <c r="Q73" s="5"/>
      <c r="R73" s="7" t="e">
        <f t="shared" si="19"/>
        <v>#DIV/0!</v>
      </c>
      <c r="S73" s="6" t="e">
        <f t="shared" si="20"/>
        <v>#DIV/0!</v>
      </c>
      <c r="T73" s="6"/>
      <c r="U73" s="7" t="e">
        <f t="shared" si="21"/>
        <v>#DIV/0!</v>
      </c>
      <c r="V73" s="7" t="e">
        <f t="shared" si="22"/>
        <v>#DIV/0!</v>
      </c>
    </row>
    <row r="74" s="34" customFormat="1" customHeight="1" spans="1:22">
      <c r="A74" s="56" t="s">
        <v>31</v>
      </c>
      <c r="B74" s="7" t="e">
        <f t="shared" si="14"/>
        <v>#DIV/0!</v>
      </c>
      <c r="C74" s="6" t="e">
        <f t="shared" si="23"/>
        <v>#DIV/0!</v>
      </c>
      <c r="D74" s="57" t="e">
        <f t="shared" si="15"/>
        <v>#DIV/0!</v>
      </c>
      <c r="E74" s="58" t="e">
        <f t="shared" si="16"/>
        <v>#DIV/0!</v>
      </c>
      <c r="F74" s="11"/>
      <c r="G74" s="5"/>
      <c r="H74" s="5"/>
      <c r="I74" s="5"/>
      <c r="J74" s="59" t="e">
        <f t="shared" si="17"/>
        <v>#DIV/0!</v>
      </c>
      <c r="K74" s="6"/>
      <c r="L74" s="6" t="e">
        <f t="shared" si="18"/>
        <v>#DIV/0!</v>
      </c>
      <c r="M74" s="11"/>
      <c r="N74" s="5"/>
      <c r="O74" s="5"/>
      <c r="P74" s="6"/>
      <c r="Q74" s="5"/>
      <c r="R74" s="7" t="e">
        <f t="shared" si="19"/>
        <v>#DIV/0!</v>
      </c>
      <c r="S74" s="6" t="e">
        <f t="shared" si="20"/>
        <v>#DIV/0!</v>
      </c>
      <c r="T74" s="6"/>
      <c r="U74" s="7" t="e">
        <f t="shared" si="21"/>
        <v>#DIV/0!</v>
      </c>
      <c r="V74" s="7" t="e">
        <f t="shared" si="22"/>
        <v>#DIV/0!</v>
      </c>
    </row>
    <row r="75" s="34" customFormat="1" customHeight="1" spans="1:22">
      <c r="A75" s="56" t="s">
        <v>32</v>
      </c>
      <c r="B75" s="7" t="e">
        <f t="shared" si="14"/>
        <v>#DIV/0!</v>
      </c>
      <c r="C75" s="6" t="e">
        <f t="shared" si="23"/>
        <v>#DIV/0!</v>
      </c>
      <c r="D75" s="57" t="e">
        <f t="shared" si="15"/>
        <v>#DIV/0!</v>
      </c>
      <c r="E75" s="58" t="e">
        <f t="shared" si="16"/>
        <v>#DIV/0!</v>
      </c>
      <c r="F75" s="11"/>
      <c r="G75" s="5"/>
      <c r="H75" s="5"/>
      <c r="I75" s="5"/>
      <c r="J75" s="59" t="e">
        <f t="shared" si="17"/>
        <v>#DIV/0!</v>
      </c>
      <c r="K75" s="6"/>
      <c r="L75" s="6" t="e">
        <f t="shared" si="18"/>
        <v>#DIV/0!</v>
      </c>
      <c r="M75" s="11"/>
      <c r="N75" s="5"/>
      <c r="O75" s="5"/>
      <c r="P75" s="6"/>
      <c r="Q75" s="5"/>
      <c r="R75" s="7" t="e">
        <f t="shared" si="19"/>
        <v>#DIV/0!</v>
      </c>
      <c r="S75" s="6" t="e">
        <f t="shared" si="20"/>
        <v>#DIV/0!</v>
      </c>
      <c r="T75" s="6"/>
      <c r="U75" s="7" t="e">
        <f t="shared" si="21"/>
        <v>#DIV/0!</v>
      </c>
      <c r="V75" s="7" t="e">
        <f t="shared" si="22"/>
        <v>#DIV/0!</v>
      </c>
    </row>
    <row r="76" s="34" customFormat="1" customHeight="1" spans="1:22">
      <c r="A76" s="56" t="s">
        <v>33</v>
      </c>
      <c r="B76" s="7" t="e">
        <f t="shared" si="14"/>
        <v>#DIV/0!</v>
      </c>
      <c r="C76" s="6" t="e">
        <f t="shared" si="23"/>
        <v>#DIV/0!</v>
      </c>
      <c r="D76" s="57" t="e">
        <f t="shared" si="15"/>
        <v>#DIV/0!</v>
      </c>
      <c r="E76" s="58" t="e">
        <f t="shared" si="16"/>
        <v>#DIV/0!</v>
      </c>
      <c r="F76" s="11"/>
      <c r="G76" s="5"/>
      <c r="H76" s="5"/>
      <c r="I76" s="5"/>
      <c r="J76" s="59" t="e">
        <f t="shared" si="17"/>
        <v>#DIV/0!</v>
      </c>
      <c r="K76" s="6"/>
      <c r="L76" s="6" t="e">
        <f t="shared" si="18"/>
        <v>#DIV/0!</v>
      </c>
      <c r="M76" s="11"/>
      <c r="N76" s="5"/>
      <c r="O76" s="5"/>
      <c r="P76" s="6"/>
      <c r="Q76" s="5"/>
      <c r="R76" s="7" t="e">
        <f t="shared" si="19"/>
        <v>#DIV/0!</v>
      </c>
      <c r="S76" s="6" t="e">
        <f t="shared" si="20"/>
        <v>#DIV/0!</v>
      </c>
      <c r="T76" s="6"/>
      <c r="U76" s="7" t="e">
        <f t="shared" si="21"/>
        <v>#DIV/0!</v>
      </c>
      <c r="V76" s="7" t="e">
        <f t="shared" si="22"/>
        <v>#DIV/0!</v>
      </c>
    </row>
    <row r="77" customHeight="1" spans="1:22">
      <c r="A77" s="61" t="s">
        <v>39</v>
      </c>
      <c r="B77" s="48">
        <f t="shared" si="14"/>
        <v>0.0417922347089437</v>
      </c>
      <c r="C77" s="49" t="e">
        <f>#REF!</f>
        <v>#REF!</v>
      </c>
      <c r="D77" s="50" t="e">
        <f t="shared" si="15"/>
        <v>#REF!</v>
      </c>
      <c r="E77" s="51" t="e">
        <f t="shared" si="16"/>
        <v>#REF!</v>
      </c>
      <c r="F77" s="52"/>
      <c r="G77" s="53">
        <f>SUM(G78:G85)</f>
        <v>4115</v>
      </c>
      <c r="H77" s="53">
        <f>SUM(H78:H85)</f>
        <v>15808</v>
      </c>
      <c r="I77" s="53">
        <f>SUM(I78:I85)</f>
        <v>339.98</v>
      </c>
      <c r="J77" s="54">
        <f t="shared" si="17"/>
        <v>0.0826196840826245</v>
      </c>
      <c r="K77" s="55">
        <f>SUM(K78:K85)</f>
        <v>13142.84</v>
      </c>
      <c r="L77" s="49">
        <f t="shared" si="18"/>
        <v>38.6576857462204</v>
      </c>
      <c r="M77" s="52"/>
      <c r="N77" s="53">
        <f>SUM(N78:N85)</f>
        <v>690</v>
      </c>
      <c r="O77" s="53">
        <f>SUM(O78:O85)</f>
        <v>2073</v>
      </c>
      <c r="P77" s="55">
        <f>SUM(P78:P85)</f>
        <v>109.01</v>
      </c>
      <c r="Q77" s="53">
        <f>SUM(Q78:Q85)</f>
        <v>2</v>
      </c>
      <c r="R77" s="48">
        <f t="shared" si="19"/>
        <v>0.000964785335262904</v>
      </c>
      <c r="S77" s="49">
        <f t="shared" si="20"/>
        <v>54.505</v>
      </c>
      <c r="T77" s="49">
        <f>SUM(T78:T85)</f>
        <v>401658.09</v>
      </c>
      <c r="U77" s="48">
        <f t="shared" si="21"/>
        <v>0.000271399985993062</v>
      </c>
      <c r="V77" s="48" t="e">
        <f t="shared" si="22"/>
        <v>#REF!</v>
      </c>
    </row>
    <row r="78" s="34" customFormat="1" customHeight="1" spans="1:22">
      <c r="A78" s="56" t="s">
        <v>26</v>
      </c>
      <c r="B78" s="7">
        <f t="shared" si="14"/>
        <v>0.0355328596802842</v>
      </c>
      <c r="C78" s="6" t="e">
        <f t="shared" ref="C78:C85" si="24">N78*B78*S78</f>
        <v>#DIV/0!</v>
      </c>
      <c r="D78" s="57" t="e">
        <f t="shared" si="15"/>
        <v>#DIV/0!</v>
      </c>
      <c r="E78" s="58" t="e">
        <f t="shared" si="16"/>
        <v>#DIV/0!</v>
      </c>
      <c r="F78" s="11"/>
      <c r="G78" s="5">
        <v>563</v>
      </c>
      <c r="H78" s="5">
        <v>2014</v>
      </c>
      <c r="I78" s="5">
        <v>40.01</v>
      </c>
      <c r="J78" s="59">
        <f t="shared" si="17"/>
        <v>0.0710657193605684</v>
      </c>
      <c r="K78" s="6">
        <v>1624.64</v>
      </c>
      <c r="L78" s="6">
        <f t="shared" si="18"/>
        <v>40.6058485378655</v>
      </c>
      <c r="M78" s="11"/>
      <c r="N78" s="5">
        <v>46</v>
      </c>
      <c r="O78" s="5">
        <v>307</v>
      </c>
      <c r="P78" s="6">
        <v>0</v>
      </c>
      <c r="Q78" s="5">
        <v>0</v>
      </c>
      <c r="R78" s="7">
        <f t="shared" si="19"/>
        <v>0</v>
      </c>
      <c r="S78" s="6" t="e">
        <f t="shared" si="20"/>
        <v>#DIV/0!</v>
      </c>
      <c r="T78" s="6">
        <v>49560.74</v>
      </c>
      <c r="U78" s="7">
        <f t="shared" si="21"/>
        <v>0</v>
      </c>
      <c r="V78" s="7" t="e">
        <f t="shared" si="22"/>
        <v>#DIV/0!</v>
      </c>
    </row>
    <row r="79" s="34" customFormat="1" customHeight="1" spans="1:22">
      <c r="A79" s="56" t="s">
        <v>27</v>
      </c>
      <c r="B79" s="7">
        <f t="shared" si="14"/>
        <v>0.0326744186046512</v>
      </c>
      <c r="C79" s="6" t="e">
        <f t="shared" si="24"/>
        <v>#DIV/0!</v>
      </c>
      <c r="D79" s="57" t="e">
        <f t="shared" si="15"/>
        <v>#DIV/0!</v>
      </c>
      <c r="E79" s="58" t="e">
        <f t="shared" si="16"/>
        <v>#DIV/0!</v>
      </c>
      <c r="F79" s="11"/>
      <c r="G79" s="5">
        <v>1118</v>
      </c>
      <c r="H79" s="5">
        <v>4468</v>
      </c>
      <c r="I79" s="5">
        <v>73.06</v>
      </c>
      <c r="J79" s="59">
        <f t="shared" si="17"/>
        <v>0.0653488372093023</v>
      </c>
      <c r="K79" s="6">
        <v>3222.9</v>
      </c>
      <c r="L79" s="6">
        <f t="shared" si="18"/>
        <v>44.1130577607446</v>
      </c>
      <c r="M79" s="11"/>
      <c r="N79" s="5">
        <v>201</v>
      </c>
      <c r="O79" s="5">
        <v>460</v>
      </c>
      <c r="P79" s="6">
        <v>0</v>
      </c>
      <c r="Q79" s="5">
        <v>0</v>
      </c>
      <c r="R79" s="7">
        <f t="shared" si="19"/>
        <v>0</v>
      </c>
      <c r="S79" s="6" t="e">
        <f t="shared" si="20"/>
        <v>#DIV/0!</v>
      </c>
      <c r="T79" s="6">
        <v>92208.23</v>
      </c>
      <c r="U79" s="7">
        <f t="shared" si="21"/>
        <v>0</v>
      </c>
      <c r="V79" s="7" t="e">
        <f t="shared" si="22"/>
        <v>#DIV/0!</v>
      </c>
    </row>
    <row r="80" s="34" customFormat="1" customHeight="1" spans="1:22">
      <c r="A80" s="56" t="s">
        <v>28</v>
      </c>
      <c r="B80" s="7">
        <f t="shared" si="14"/>
        <v>0.0405524490614253</v>
      </c>
      <c r="C80" s="6">
        <f t="shared" si="24"/>
        <v>235.191227772567</v>
      </c>
      <c r="D80" s="57">
        <f t="shared" si="15"/>
        <v>7.98883246510079</v>
      </c>
      <c r="E80" s="58">
        <f t="shared" si="16"/>
        <v>-205.751227772567</v>
      </c>
      <c r="F80" s="11"/>
      <c r="G80" s="5">
        <v>1096</v>
      </c>
      <c r="H80" s="5">
        <v>4179</v>
      </c>
      <c r="I80" s="5">
        <v>86.85</v>
      </c>
      <c r="J80" s="59">
        <f t="shared" si="17"/>
        <v>0.079242700729927</v>
      </c>
      <c r="K80" s="6">
        <v>3061.22</v>
      </c>
      <c r="L80" s="6">
        <f t="shared" si="18"/>
        <v>35.2472078295912</v>
      </c>
      <c r="M80" s="11"/>
      <c r="N80" s="5">
        <v>197</v>
      </c>
      <c r="O80" s="5">
        <v>537</v>
      </c>
      <c r="P80" s="6">
        <v>29.44</v>
      </c>
      <c r="Q80" s="5">
        <v>1</v>
      </c>
      <c r="R80" s="7">
        <f t="shared" si="19"/>
        <v>0.00186219739292365</v>
      </c>
      <c r="S80" s="6">
        <f t="shared" si="20"/>
        <v>29.44</v>
      </c>
      <c r="T80" s="6">
        <v>98511.5</v>
      </c>
      <c r="U80" s="7">
        <f t="shared" si="21"/>
        <v>0.000298848357805941</v>
      </c>
      <c r="V80" s="7">
        <f t="shared" si="22"/>
        <v>-0.00208860110517622</v>
      </c>
    </row>
    <row r="81" s="34" customFormat="1" customHeight="1" spans="1:22">
      <c r="A81" s="56" t="s">
        <v>29</v>
      </c>
      <c r="B81" s="7">
        <f t="shared" si="14"/>
        <v>0.0529895074650945</v>
      </c>
      <c r="C81" s="6">
        <f t="shared" si="24"/>
        <v>1037.2282768134</v>
      </c>
      <c r="D81" s="57">
        <f t="shared" si="15"/>
        <v>13.0354188364133</v>
      </c>
      <c r="E81" s="58">
        <f t="shared" si="16"/>
        <v>-957.658276813403</v>
      </c>
      <c r="F81" s="11"/>
      <c r="G81" s="5">
        <v>1338</v>
      </c>
      <c r="H81" s="5">
        <v>5147</v>
      </c>
      <c r="I81" s="5">
        <v>140.06</v>
      </c>
      <c r="J81" s="59">
        <f t="shared" si="17"/>
        <v>0.104678624813154</v>
      </c>
      <c r="K81" s="6">
        <v>5234.08</v>
      </c>
      <c r="L81" s="6">
        <f t="shared" si="18"/>
        <v>37.3702698843353</v>
      </c>
      <c r="M81" s="11"/>
      <c r="N81" s="5">
        <v>246</v>
      </c>
      <c r="O81" s="5">
        <v>769</v>
      </c>
      <c r="P81" s="6">
        <v>79.57</v>
      </c>
      <c r="Q81" s="5">
        <v>1</v>
      </c>
      <c r="R81" s="7">
        <f t="shared" si="19"/>
        <v>0.00130039011703511</v>
      </c>
      <c r="S81" s="6">
        <f t="shared" si="20"/>
        <v>79.57</v>
      </c>
      <c r="T81" s="6">
        <v>161377.62</v>
      </c>
      <c r="U81" s="7">
        <f t="shared" si="21"/>
        <v>0.000493067130374088</v>
      </c>
      <c r="V81" s="7">
        <f t="shared" si="22"/>
        <v>-0.00593426942852053</v>
      </c>
    </row>
    <row r="82" s="34" customFormat="1" customHeight="1" spans="1:22">
      <c r="A82" s="56" t="s">
        <v>30</v>
      </c>
      <c r="B82" s="7" t="e">
        <f t="shared" si="14"/>
        <v>#DIV/0!</v>
      </c>
      <c r="C82" s="6" t="e">
        <f t="shared" si="24"/>
        <v>#DIV/0!</v>
      </c>
      <c r="D82" s="57" t="e">
        <f t="shared" si="15"/>
        <v>#DIV/0!</v>
      </c>
      <c r="E82" s="58" t="e">
        <f t="shared" si="16"/>
        <v>#DIV/0!</v>
      </c>
      <c r="F82" s="11"/>
      <c r="G82" s="5"/>
      <c r="H82" s="5"/>
      <c r="I82" s="5"/>
      <c r="J82" s="59" t="e">
        <f t="shared" si="17"/>
        <v>#DIV/0!</v>
      </c>
      <c r="K82" s="6"/>
      <c r="L82" s="6" t="e">
        <f t="shared" si="18"/>
        <v>#DIV/0!</v>
      </c>
      <c r="M82" s="11"/>
      <c r="N82" s="5"/>
      <c r="O82" s="5"/>
      <c r="P82" s="6"/>
      <c r="Q82" s="5"/>
      <c r="R82" s="7" t="e">
        <f t="shared" si="19"/>
        <v>#DIV/0!</v>
      </c>
      <c r="S82" s="6" t="e">
        <f t="shared" si="20"/>
        <v>#DIV/0!</v>
      </c>
      <c r="T82" s="6"/>
      <c r="U82" s="7" t="e">
        <f t="shared" si="21"/>
        <v>#DIV/0!</v>
      </c>
      <c r="V82" s="7" t="e">
        <f t="shared" si="22"/>
        <v>#DIV/0!</v>
      </c>
    </row>
    <row r="83" s="34" customFormat="1" customHeight="1" spans="1:22">
      <c r="A83" s="56" t="s">
        <v>31</v>
      </c>
      <c r="B83" s="7" t="e">
        <f t="shared" si="14"/>
        <v>#DIV/0!</v>
      </c>
      <c r="C83" s="6" t="e">
        <f t="shared" si="24"/>
        <v>#DIV/0!</v>
      </c>
      <c r="D83" s="57" t="e">
        <f t="shared" si="15"/>
        <v>#DIV/0!</v>
      </c>
      <c r="E83" s="58" t="e">
        <f t="shared" si="16"/>
        <v>#DIV/0!</v>
      </c>
      <c r="F83" s="11"/>
      <c r="G83" s="5"/>
      <c r="H83" s="5"/>
      <c r="I83" s="5"/>
      <c r="J83" s="59" t="e">
        <f t="shared" si="17"/>
        <v>#DIV/0!</v>
      </c>
      <c r="K83" s="6"/>
      <c r="L83" s="6" t="e">
        <f t="shared" si="18"/>
        <v>#DIV/0!</v>
      </c>
      <c r="M83" s="11"/>
      <c r="N83" s="5"/>
      <c r="O83" s="5"/>
      <c r="P83" s="6"/>
      <c r="Q83" s="5"/>
      <c r="R83" s="7" t="e">
        <f t="shared" si="19"/>
        <v>#DIV/0!</v>
      </c>
      <c r="S83" s="6" t="e">
        <f t="shared" si="20"/>
        <v>#DIV/0!</v>
      </c>
      <c r="T83" s="6"/>
      <c r="U83" s="7" t="e">
        <f t="shared" si="21"/>
        <v>#DIV/0!</v>
      </c>
      <c r="V83" s="7" t="e">
        <f t="shared" si="22"/>
        <v>#DIV/0!</v>
      </c>
    </row>
    <row r="84" s="34" customFormat="1" customHeight="1" spans="1:22">
      <c r="A84" s="56" t="s">
        <v>32</v>
      </c>
      <c r="B84" s="7" t="e">
        <f t="shared" si="14"/>
        <v>#DIV/0!</v>
      </c>
      <c r="C84" s="6" t="e">
        <f t="shared" si="24"/>
        <v>#DIV/0!</v>
      </c>
      <c r="D84" s="57" t="e">
        <f t="shared" si="15"/>
        <v>#DIV/0!</v>
      </c>
      <c r="E84" s="58" t="e">
        <f t="shared" si="16"/>
        <v>#DIV/0!</v>
      </c>
      <c r="F84" s="11"/>
      <c r="G84" s="5"/>
      <c r="H84" s="5"/>
      <c r="I84" s="5"/>
      <c r="J84" s="59" t="e">
        <f t="shared" si="17"/>
        <v>#DIV/0!</v>
      </c>
      <c r="K84" s="6"/>
      <c r="L84" s="6" t="e">
        <f t="shared" si="18"/>
        <v>#DIV/0!</v>
      </c>
      <c r="M84" s="11"/>
      <c r="N84" s="5"/>
      <c r="O84" s="5"/>
      <c r="P84" s="6"/>
      <c r="Q84" s="5"/>
      <c r="R84" s="7" t="e">
        <f t="shared" si="19"/>
        <v>#DIV/0!</v>
      </c>
      <c r="S84" s="6" t="e">
        <f t="shared" si="20"/>
        <v>#DIV/0!</v>
      </c>
      <c r="T84" s="6"/>
      <c r="U84" s="7" t="e">
        <f t="shared" si="21"/>
        <v>#DIV/0!</v>
      </c>
      <c r="V84" s="7" t="e">
        <f t="shared" si="22"/>
        <v>#DIV/0!</v>
      </c>
    </row>
    <row r="85" s="34" customFormat="1" customHeight="1" spans="1:22">
      <c r="A85" s="56" t="s">
        <v>33</v>
      </c>
      <c r="B85" s="7" t="e">
        <f t="shared" si="14"/>
        <v>#DIV/0!</v>
      </c>
      <c r="C85" s="6" t="e">
        <f t="shared" si="24"/>
        <v>#DIV/0!</v>
      </c>
      <c r="D85" s="57" t="e">
        <f t="shared" si="15"/>
        <v>#DIV/0!</v>
      </c>
      <c r="E85" s="58" t="e">
        <f t="shared" si="16"/>
        <v>#DIV/0!</v>
      </c>
      <c r="F85" s="11"/>
      <c r="G85" s="5"/>
      <c r="H85" s="5"/>
      <c r="I85" s="5"/>
      <c r="J85" s="59" t="e">
        <f t="shared" si="17"/>
        <v>#DIV/0!</v>
      </c>
      <c r="K85" s="6"/>
      <c r="L85" s="6" t="e">
        <f t="shared" si="18"/>
        <v>#DIV/0!</v>
      </c>
      <c r="M85" s="11"/>
      <c r="N85" s="5"/>
      <c r="O85" s="5"/>
      <c r="P85" s="6"/>
      <c r="Q85" s="5"/>
      <c r="R85" s="7" t="e">
        <f t="shared" si="19"/>
        <v>#DIV/0!</v>
      </c>
      <c r="S85" s="6" t="e">
        <f t="shared" si="20"/>
        <v>#DIV/0!</v>
      </c>
      <c r="T85" s="6"/>
      <c r="U85" s="7" t="e">
        <f t="shared" si="21"/>
        <v>#DIV/0!</v>
      </c>
      <c r="V85" s="7" t="e">
        <f t="shared" si="22"/>
        <v>#DIV/0!</v>
      </c>
    </row>
    <row r="86" customHeight="1" spans="1:22">
      <c r="A86" s="61" t="s">
        <v>40</v>
      </c>
      <c r="B86" s="48">
        <f t="shared" si="14"/>
        <v>0.0313657396327946</v>
      </c>
      <c r="C86" s="49" t="e">
        <f>#REF!</f>
        <v>#REF!</v>
      </c>
      <c r="D86" s="50" t="e">
        <f t="shared" si="15"/>
        <v>#REF!</v>
      </c>
      <c r="E86" s="51" t="e">
        <f t="shared" si="16"/>
        <v>#REF!</v>
      </c>
      <c r="F86" s="52"/>
      <c r="G86" s="53">
        <f>SUM(G87:G94)</f>
        <v>1127</v>
      </c>
      <c r="H86" s="53">
        <f>SUM(H87:H94)</f>
        <v>3940</v>
      </c>
      <c r="I86" s="53">
        <f>SUM(I87:I94)</f>
        <v>68.62</v>
      </c>
      <c r="J86" s="54">
        <f t="shared" si="17"/>
        <v>0.0608873114463177</v>
      </c>
      <c r="K86" s="55">
        <f>SUM(K87:K94)</f>
        <v>2455.58</v>
      </c>
      <c r="L86" s="49">
        <f t="shared" si="18"/>
        <v>35.7851938210434</v>
      </c>
      <c r="M86" s="52"/>
      <c r="N86" s="53">
        <f>SUM(N87:N94)</f>
        <v>313</v>
      </c>
      <c r="O86" s="53">
        <f>SUM(O87:O94)</f>
        <v>2169</v>
      </c>
      <c r="P86" s="55">
        <f>SUM(P87:P94)</f>
        <v>235.64</v>
      </c>
      <c r="Q86" s="53">
        <f>SUM(Q87:Q94)</f>
        <v>4</v>
      </c>
      <c r="R86" s="48">
        <f t="shared" si="19"/>
        <v>0.00184416781927155</v>
      </c>
      <c r="S86" s="49">
        <f t="shared" si="20"/>
        <v>58.91</v>
      </c>
      <c r="T86" s="49">
        <f>SUM(T87:T94)</f>
        <v>71705.9</v>
      </c>
      <c r="U86" s="48">
        <f t="shared" si="21"/>
        <v>0.00328620099601288</v>
      </c>
      <c r="V86" s="48" t="e">
        <f t="shared" si="22"/>
        <v>#REF!</v>
      </c>
    </row>
    <row r="87" s="34" customFormat="1" customHeight="1" spans="1:22">
      <c r="A87" s="56" t="s">
        <v>26</v>
      </c>
      <c r="B87" s="7">
        <f t="shared" si="14"/>
        <v>0.0272055247544013</v>
      </c>
      <c r="C87" s="6">
        <f t="shared" ref="C87:C94" si="25">N87*B87*S87</f>
        <v>36.9616979865772</v>
      </c>
      <c r="D87" s="57">
        <f t="shared" si="15"/>
        <v>0.62572706935123</v>
      </c>
      <c r="E87" s="58">
        <f t="shared" si="16"/>
        <v>22.1083020134228</v>
      </c>
      <c r="F87" s="11"/>
      <c r="G87" s="5">
        <v>115</v>
      </c>
      <c r="H87" s="5">
        <v>333</v>
      </c>
      <c r="I87" s="5">
        <v>6</v>
      </c>
      <c r="J87" s="59">
        <f t="shared" si="17"/>
        <v>0.0521739130434783</v>
      </c>
      <c r="K87" s="6">
        <v>227.81</v>
      </c>
      <c r="L87" s="6">
        <f t="shared" si="18"/>
        <v>37.9683333333333</v>
      </c>
      <c r="M87" s="11"/>
      <c r="N87" s="5">
        <v>23</v>
      </c>
      <c r="O87" s="5">
        <v>447</v>
      </c>
      <c r="P87" s="6">
        <v>59.07</v>
      </c>
      <c r="Q87" s="5">
        <v>1</v>
      </c>
      <c r="R87" s="7">
        <f t="shared" si="19"/>
        <v>0.00223713646532438</v>
      </c>
      <c r="S87" s="6">
        <f t="shared" si="20"/>
        <v>59.07</v>
      </c>
      <c r="T87" s="6">
        <v>8216.74</v>
      </c>
      <c r="U87" s="7">
        <f t="shared" si="21"/>
        <v>0.00718898249183983</v>
      </c>
      <c r="V87" s="7">
        <f t="shared" si="22"/>
        <v>0.00269064154560359</v>
      </c>
    </row>
    <row r="88" s="34" customFormat="1" customHeight="1" spans="1:22">
      <c r="A88" s="56" t="s">
        <v>27</v>
      </c>
      <c r="B88" s="7">
        <f t="shared" si="14"/>
        <v>0.0363589475020631</v>
      </c>
      <c r="C88" s="6">
        <f t="shared" si="25"/>
        <v>65.5206413460928</v>
      </c>
      <c r="D88" s="57">
        <f t="shared" si="15"/>
        <v>4.18127896273726</v>
      </c>
      <c r="E88" s="58">
        <f t="shared" si="16"/>
        <v>-49.8506413460928</v>
      </c>
      <c r="F88" s="11"/>
      <c r="G88" s="5">
        <v>267</v>
      </c>
      <c r="H88" s="5">
        <v>891</v>
      </c>
      <c r="I88" s="5">
        <v>18.85</v>
      </c>
      <c r="J88" s="59">
        <f t="shared" si="17"/>
        <v>0.0705992509363296</v>
      </c>
      <c r="K88" s="6">
        <v>775.93</v>
      </c>
      <c r="L88" s="6">
        <f t="shared" si="18"/>
        <v>41.1633952254642</v>
      </c>
      <c r="M88" s="11"/>
      <c r="N88" s="5">
        <v>115</v>
      </c>
      <c r="O88" s="5">
        <v>472</v>
      </c>
      <c r="P88" s="6">
        <v>15.67</v>
      </c>
      <c r="Q88" s="5">
        <v>1</v>
      </c>
      <c r="R88" s="7">
        <f t="shared" si="19"/>
        <v>0.00211864406779661</v>
      </c>
      <c r="S88" s="6">
        <f t="shared" si="20"/>
        <v>15.67</v>
      </c>
      <c r="T88" s="6">
        <v>19559.33</v>
      </c>
      <c r="U88" s="7">
        <f t="shared" si="21"/>
        <v>0.000801152186705782</v>
      </c>
      <c r="V88" s="7">
        <f t="shared" si="22"/>
        <v>-0.00254868859751806</v>
      </c>
    </row>
    <row r="89" s="34" customFormat="1" customHeight="1" spans="1:22">
      <c r="A89" s="56" t="s">
        <v>28</v>
      </c>
      <c r="B89" s="7">
        <f t="shared" si="14"/>
        <v>0.0303908203738383</v>
      </c>
      <c r="C89" s="6">
        <f t="shared" si="25"/>
        <v>232.269442412153</v>
      </c>
      <c r="D89" s="57">
        <f t="shared" si="15"/>
        <v>1.44356396775732</v>
      </c>
      <c r="E89" s="58">
        <f t="shared" si="16"/>
        <v>-71.3694424121526</v>
      </c>
      <c r="F89" s="11"/>
      <c r="G89" s="5">
        <v>298</v>
      </c>
      <c r="H89" s="5">
        <v>1057</v>
      </c>
      <c r="I89" s="5">
        <v>17.08</v>
      </c>
      <c r="J89" s="59">
        <f t="shared" si="17"/>
        <v>0.0573154362416107</v>
      </c>
      <c r="K89" s="6">
        <v>479.9</v>
      </c>
      <c r="L89" s="6">
        <f t="shared" si="18"/>
        <v>28.0971896955504</v>
      </c>
      <c r="M89" s="11"/>
      <c r="N89" s="5">
        <v>95</v>
      </c>
      <c r="O89" s="5">
        <v>577</v>
      </c>
      <c r="P89" s="6">
        <v>160.9</v>
      </c>
      <c r="Q89" s="5">
        <v>2</v>
      </c>
      <c r="R89" s="7">
        <f t="shared" si="19"/>
        <v>0.00346620450606586</v>
      </c>
      <c r="S89" s="6">
        <f t="shared" si="20"/>
        <v>80.45</v>
      </c>
      <c r="T89" s="6">
        <v>13933.51</v>
      </c>
      <c r="U89" s="7">
        <f t="shared" si="21"/>
        <v>0.0115477004717404</v>
      </c>
      <c r="V89" s="7">
        <f t="shared" si="22"/>
        <v>-0.00512214383971825</v>
      </c>
    </row>
    <row r="90" s="34" customFormat="1" customHeight="1" spans="1:22">
      <c r="A90" s="56" t="s">
        <v>29</v>
      </c>
      <c r="B90" s="7">
        <f t="shared" si="14"/>
        <v>0.0298545861297539</v>
      </c>
      <c r="C90" s="6" t="e">
        <f t="shared" si="25"/>
        <v>#DIV/0!</v>
      </c>
      <c r="D90" s="57" t="e">
        <f t="shared" si="15"/>
        <v>#DIV/0!</v>
      </c>
      <c r="E90" s="58" t="e">
        <f t="shared" si="16"/>
        <v>#DIV/0!</v>
      </c>
      <c r="F90" s="11"/>
      <c r="G90" s="5">
        <v>447</v>
      </c>
      <c r="H90" s="5">
        <v>1659</v>
      </c>
      <c r="I90" s="5">
        <v>26.69</v>
      </c>
      <c r="J90" s="59">
        <f t="shared" si="17"/>
        <v>0.0597091722595078</v>
      </c>
      <c r="K90" s="6">
        <v>971.94</v>
      </c>
      <c r="L90" s="6">
        <f t="shared" si="18"/>
        <v>36.4158860996628</v>
      </c>
      <c r="M90" s="11"/>
      <c r="N90" s="5">
        <v>80</v>
      </c>
      <c r="O90" s="5">
        <v>673</v>
      </c>
      <c r="P90" s="6">
        <v>0</v>
      </c>
      <c r="Q90" s="5">
        <v>0</v>
      </c>
      <c r="R90" s="7">
        <f t="shared" si="19"/>
        <v>0</v>
      </c>
      <c r="S90" s="6" t="e">
        <f t="shared" si="20"/>
        <v>#DIV/0!</v>
      </c>
      <c r="T90" s="6">
        <v>29996.32</v>
      </c>
      <c r="U90" s="7">
        <f t="shared" si="21"/>
        <v>0</v>
      </c>
      <c r="V90" s="7" t="e">
        <f t="shared" si="22"/>
        <v>#DIV/0!</v>
      </c>
    </row>
    <row r="91" s="34" customFormat="1" customHeight="1" spans="1:22">
      <c r="A91" s="56" t="s">
        <v>30</v>
      </c>
      <c r="B91" s="7" t="e">
        <f t="shared" si="14"/>
        <v>#DIV/0!</v>
      </c>
      <c r="C91" s="6" t="e">
        <f t="shared" si="25"/>
        <v>#DIV/0!</v>
      </c>
      <c r="D91" s="57" t="e">
        <f t="shared" si="15"/>
        <v>#DIV/0!</v>
      </c>
      <c r="E91" s="58" t="e">
        <f t="shared" si="16"/>
        <v>#DIV/0!</v>
      </c>
      <c r="F91" s="11"/>
      <c r="G91" s="5"/>
      <c r="H91" s="5"/>
      <c r="I91" s="5"/>
      <c r="J91" s="59" t="e">
        <f t="shared" si="17"/>
        <v>#DIV/0!</v>
      </c>
      <c r="K91" s="6"/>
      <c r="L91" s="6" t="e">
        <f t="shared" si="18"/>
        <v>#DIV/0!</v>
      </c>
      <c r="M91" s="11"/>
      <c r="N91" s="5"/>
      <c r="O91" s="5"/>
      <c r="P91" s="6"/>
      <c r="Q91" s="5"/>
      <c r="R91" s="7" t="e">
        <f t="shared" si="19"/>
        <v>#DIV/0!</v>
      </c>
      <c r="S91" s="6" t="e">
        <f t="shared" si="20"/>
        <v>#DIV/0!</v>
      </c>
      <c r="T91" s="6"/>
      <c r="U91" s="7" t="e">
        <f t="shared" si="21"/>
        <v>#DIV/0!</v>
      </c>
      <c r="V91" s="7" t="e">
        <f t="shared" si="22"/>
        <v>#DIV/0!</v>
      </c>
    </row>
    <row r="92" s="34" customFormat="1" customHeight="1" spans="1:22">
      <c r="A92" s="56" t="s">
        <v>31</v>
      </c>
      <c r="B92" s="7" t="e">
        <f t="shared" si="14"/>
        <v>#DIV/0!</v>
      </c>
      <c r="C92" s="6" t="e">
        <f t="shared" si="25"/>
        <v>#DIV/0!</v>
      </c>
      <c r="D92" s="57" t="e">
        <f t="shared" si="15"/>
        <v>#DIV/0!</v>
      </c>
      <c r="E92" s="58" t="e">
        <f t="shared" si="16"/>
        <v>#DIV/0!</v>
      </c>
      <c r="F92" s="11"/>
      <c r="G92" s="5"/>
      <c r="H92" s="5"/>
      <c r="I92" s="5"/>
      <c r="J92" s="59" t="e">
        <f t="shared" si="17"/>
        <v>#DIV/0!</v>
      </c>
      <c r="K92" s="6"/>
      <c r="L92" s="6" t="e">
        <f t="shared" si="18"/>
        <v>#DIV/0!</v>
      </c>
      <c r="M92" s="11"/>
      <c r="N92" s="5"/>
      <c r="O92" s="5"/>
      <c r="P92" s="6"/>
      <c r="Q92" s="5"/>
      <c r="R92" s="7" t="e">
        <f t="shared" si="19"/>
        <v>#DIV/0!</v>
      </c>
      <c r="S92" s="6" t="e">
        <f t="shared" si="20"/>
        <v>#DIV/0!</v>
      </c>
      <c r="T92" s="6"/>
      <c r="U92" s="7" t="e">
        <f t="shared" si="21"/>
        <v>#DIV/0!</v>
      </c>
      <c r="V92" s="7" t="e">
        <f t="shared" si="22"/>
        <v>#DIV/0!</v>
      </c>
    </row>
    <row r="93" s="34" customFormat="1" customHeight="1" spans="1:22">
      <c r="A93" s="56" t="s">
        <v>32</v>
      </c>
      <c r="B93" s="7" t="e">
        <f t="shared" si="14"/>
        <v>#DIV/0!</v>
      </c>
      <c r="C93" s="6" t="e">
        <f t="shared" si="25"/>
        <v>#DIV/0!</v>
      </c>
      <c r="D93" s="57" t="e">
        <f t="shared" si="15"/>
        <v>#DIV/0!</v>
      </c>
      <c r="E93" s="58" t="e">
        <f t="shared" si="16"/>
        <v>#DIV/0!</v>
      </c>
      <c r="F93" s="11"/>
      <c r="G93" s="5"/>
      <c r="H93" s="5"/>
      <c r="I93" s="5"/>
      <c r="J93" s="59" t="e">
        <f t="shared" si="17"/>
        <v>#DIV/0!</v>
      </c>
      <c r="K93" s="6"/>
      <c r="L93" s="6" t="e">
        <f t="shared" si="18"/>
        <v>#DIV/0!</v>
      </c>
      <c r="M93" s="11"/>
      <c r="N93" s="5"/>
      <c r="O93" s="5"/>
      <c r="P93" s="6"/>
      <c r="Q93" s="5"/>
      <c r="R93" s="7" t="e">
        <f t="shared" si="19"/>
        <v>#DIV/0!</v>
      </c>
      <c r="S93" s="6" t="e">
        <f t="shared" si="20"/>
        <v>#DIV/0!</v>
      </c>
      <c r="T93" s="6"/>
      <c r="U93" s="7" t="e">
        <f t="shared" si="21"/>
        <v>#DIV/0!</v>
      </c>
      <c r="V93" s="7" t="e">
        <f t="shared" si="22"/>
        <v>#DIV/0!</v>
      </c>
    </row>
    <row r="94" s="34" customFormat="1" customHeight="1" spans="1:22">
      <c r="A94" s="56" t="s">
        <v>33</v>
      </c>
      <c r="B94" s="7" t="e">
        <f t="shared" si="14"/>
        <v>#DIV/0!</v>
      </c>
      <c r="C94" s="6" t="e">
        <f t="shared" si="25"/>
        <v>#DIV/0!</v>
      </c>
      <c r="D94" s="57" t="e">
        <f t="shared" si="15"/>
        <v>#DIV/0!</v>
      </c>
      <c r="E94" s="58" t="e">
        <f t="shared" si="16"/>
        <v>#DIV/0!</v>
      </c>
      <c r="F94" s="11"/>
      <c r="G94" s="5"/>
      <c r="H94" s="5"/>
      <c r="I94" s="5"/>
      <c r="J94" s="59" t="e">
        <f t="shared" si="17"/>
        <v>#DIV/0!</v>
      </c>
      <c r="K94" s="6"/>
      <c r="L94" s="6" t="e">
        <f t="shared" si="18"/>
        <v>#DIV/0!</v>
      </c>
      <c r="M94" s="11"/>
      <c r="N94" s="5"/>
      <c r="O94" s="5"/>
      <c r="P94" s="6"/>
      <c r="Q94" s="5"/>
      <c r="R94" s="7" t="e">
        <f t="shared" si="19"/>
        <v>#DIV/0!</v>
      </c>
      <c r="S94" s="6" t="e">
        <f t="shared" si="20"/>
        <v>#DIV/0!</v>
      </c>
      <c r="T94" s="6"/>
      <c r="U94" s="7" t="e">
        <f t="shared" si="21"/>
        <v>#DIV/0!</v>
      </c>
      <c r="V94" s="7" t="e">
        <f t="shared" si="22"/>
        <v>#DIV/0!</v>
      </c>
    </row>
    <row r="95" ht="132" customHeight="1" spans="1:22">
      <c r="A95" s="62"/>
      <c r="B95" s="63" t="s">
        <v>41</v>
      </c>
      <c r="C95" s="63"/>
      <c r="D95" s="63"/>
      <c r="E95" s="63"/>
      <c r="H95" s="64"/>
      <c r="I95" s="64"/>
      <c r="J95" s="64"/>
      <c r="K95" s="64"/>
      <c r="L95" s="64"/>
    </row>
    <row r="96" customHeight="1" spans="1:22">
      <c r="B96" s="34"/>
      <c r="C96" s="34"/>
      <c r="H96" s="64"/>
      <c r="I96" s="64"/>
      <c r="J96" s="64"/>
      <c r="K96" s="64"/>
      <c r="L96" s="64"/>
    </row>
    <row r="97" customHeight="1" spans="2:12">
      <c r="B97" s="34"/>
      <c r="C97" s="34"/>
      <c r="H97" s="64"/>
      <c r="I97" s="64"/>
      <c r="J97" s="64"/>
      <c r="K97" s="64"/>
      <c r="L97" s="64"/>
    </row>
    <row r="98" customHeight="1" spans="2:12">
      <c r="B98" s="34"/>
      <c r="C98" s="34"/>
    </row>
    <row r="99" customHeight="1" spans="2:12">
      <c r="B99" s="34"/>
      <c r="C99" s="34"/>
    </row>
    <row r="100" customHeight="1" spans="2:12">
      <c r="B100" s="34"/>
      <c r="C100" s="34"/>
    </row>
    <row r="101" ht="49.5" customHeight="1"/>
    <row r="114" customHeight="1" spans="2:12">
      <c r="B114" s="34"/>
      <c r="C114" s="34"/>
    </row>
    <row r="115" customHeight="1" spans="2:12">
      <c r="B115" s="34"/>
      <c r="C115" s="34"/>
    </row>
    <row r="116" customHeight="1" spans="2:12">
      <c r="B116" s="34"/>
      <c r="C116" s="34"/>
    </row>
    <row r="117" customHeight="1" spans="2:12">
      <c r="B117" s="34"/>
      <c r="C117" s="34"/>
    </row>
    <row r="118" customHeight="1" spans="2:12">
      <c r="B118" s="34"/>
      <c r="C118" s="34"/>
    </row>
    <row r="119" customHeight="1" spans="2:12">
      <c r="B119" s="34"/>
      <c r="C119" s="34"/>
      <c r="H119" s="64"/>
      <c r="I119" s="64"/>
      <c r="K119" s="64"/>
      <c r="L119" s="64"/>
    </row>
    <row r="120" customHeight="1" spans="2:12">
      <c r="B120" s="34"/>
      <c r="C120" s="34"/>
      <c r="H120" s="64"/>
      <c r="I120" s="64"/>
      <c r="K120" s="64"/>
      <c r="L120" s="64"/>
    </row>
    <row r="121" customHeight="1" spans="2:12">
      <c r="B121" s="34"/>
      <c r="C121" s="34"/>
      <c r="H121" s="64"/>
      <c r="I121" s="64"/>
      <c r="K121" s="64"/>
      <c r="L121" s="64"/>
    </row>
    <row r="122" customHeight="1" spans="2:12">
      <c r="B122" s="34"/>
      <c r="C122" s="34"/>
      <c r="H122" s="64"/>
      <c r="I122" s="64"/>
      <c r="K122" s="64"/>
      <c r="L122" s="64"/>
    </row>
    <row r="123" customHeight="1" spans="2:12">
      <c r="B123" s="34"/>
      <c r="C123" s="34"/>
      <c r="H123" s="64"/>
      <c r="I123" s="64"/>
      <c r="K123" s="64"/>
      <c r="L123" s="64"/>
    </row>
    <row r="124" customHeight="1" spans="2:12">
      <c r="B124" s="34"/>
      <c r="C124" s="34"/>
      <c r="H124" s="64"/>
      <c r="I124" s="64"/>
      <c r="K124" s="64"/>
      <c r="L124" s="64"/>
    </row>
    <row r="125" customHeight="1" spans="2:12">
      <c r="B125" s="34"/>
      <c r="C125" s="34"/>
      <c r="H125" s="64"/>
      <c r="I125" s="64"/>
      <c r="K125" s="64"/>
      <c r="L125" s="64"/>
    </row>
    <row r="126" customHeight="1" spans="2:12">
      <c r="B126" s="34"/>
      <c r="C126" s="34"/>
      <c r="H126" s="64"/>
      <c r="I126" s="64"/>
      <c r="K126" s="64"/>
      <c r="L126" s="64"/>
    </row>
    <row r="127" customHeight="1" spans="2:12">
      <c r="B127" s="34"/>
      <c r="C127" s="34"/>
      <c r="H127" s="64"/>
      <c r="I127" s="64"/>
      <c r="K127" s="64"/>
      <c r="L127" s="64"/>
    </row>
    <row r="128" customHeight="1" spans="2:12">
      <c r="B128" s="34"/>
      <c r="C128" s="34"/>
      <c r="H128" s="64"/>
      <c r="I128" s="64"/>
      <c r="K128" s="64"/>
      <c r="L128" s="64"/>
    </row>
    <row r="129" customHeight="1" spans="2:12">
      <c r="B129" s="34"/>
      <c r="C129" s="34"/>
      <c r="H129" s="64"/>
      <c r="I129" s="64"/>
      <c r="K129" s="64"/>
      <c r="L129" s="64"/>
    </row>
    <row r="130" customHeight="1" spans="2:12">
      <c r="B130" s="34"/>
      <c r="C130" s="34"/>
      <c r="H130" s="64"/>
      <c r="I130" s="64"/>
      <c r="K130" s="64"/>
      <c r="L130" s="64"/>
    </row>
    <row r="131" customHeight="1" spans="2:12">
      <c r="B131" s="34"/>
      <c r="C131" s="34"/>
      <c r="H131" s="64"/>
      <c r="I131" s="64"/>
      <c r="K131" s="64"/>
      <c r="L131" s="64"/>
    </row>
    <row r="132" customHeight="1" spans="2:12">
      <c r="B132" s="34"/>
      <c r="C132" s="34"/>
      <c r="H132" s="64"/>
      <c r="I132" s="64"/>
      <c r="K132" s="64"/>
      <c r="L132" s="64"/>
    </row>
    <row r="133" customHeight="1" spans="2:12">
      <c r="B133" s="34"/>
      <c r="C133" s="34"/>
      <c r="H133" s="64"/>
      <c r="I133" s="64"/>
      <c r="K133" s="64"/>
      <c r="L133" s="64"/>
    </row>
    <row r="134" customHeight="1" spans="2:12">
      <c r="B134" s="34"/>
      <c r="C134" s="34"/>
      <c r="H134" s="64"/>
      <c r="I134" s="64"/>
      <c r="K134" s="64"/>
      <c r="L134" s="64"/>
    </row>
    <row r="135" customHeight="1" spans="2:12">
      <c r="B135" s="34"/>
      <c r="C135" s="34"/>
      <c r="H135" s="64"/>
      <c r="I135" s="64"/>
      <c r="K135" s="64"/>
      <c r="L135" s="64"/>
    </row>
    <row r="136" customHeight="1" spans="2:12">
      <c r="B136" s="34"/>
      <c r="C136" s="34"/>
      <c r="H136" s="64"/>
      <c r="I136" s="64"/>
      <c r="K136" s="64"/>
      <c r="L136" s="64"/>
    </row>
    <row r="137" customHeight="1" spans="2:12">
      <c r="B137" s="34"/>
      <c r="C137" s="34"/>
      <c r="H137" s="64"/>
      <c r="I137" s="64"/>
      <c r="K137" s="64"/>
      <c r="L137" s="64"/>
    </row>
    <row r="138" customHeight="1" spans="2:12">
      <c r="B138" s="34"/>
      <c r="C138" s="34"/>
      <c r="H138" s="64"/>
      <c r="I138" s="64"/>
      <c r="K138" s="64"/>
      <c r="L138" s="64"/>
    </row>
    <row r="139" customHeight="1" spans="2:12">
      <c r="B139" s="34"/>
      <c r="C139" s="34"/>
      <c r="H139" s="64"/>
      <c r="I139" s="64"/>
      <c r="K139" s="64"/>
      <c r="L139" s="64"/>
    </row>
    <row r="140" customHeight="1" spans="2:12">
      <c r="B140" s="34"/>
      <c r="C140" s="34"/>
      <c r="H140" s="64"/>
      <c r="I140" s="64"/>
      <c r="K140" s="64"/>
      <c r="L140" s="64"/>
    </row>
    <row r="141" customHeight="1" spans="2:12">
      <c r="B141" s="34"/>
      <c r="C141" s="34"/>
      <c r="H141" s="64"/>
      <c r="I141" s="64"/>
      <c r="K141" s="64"/>
      <c r="L141" s="64"/>
    </row>
    <row r="142" customHeight="1" spans="2:12">
      <c r="B142" s="34"/>
      <c r="C142" s="34"/>
      <c r="H142" s="64"/>
      <c r="I142" s="64"/>
      <c r="K142" s="64"/>
      <c r="L142" s="64"/>
    </row>
    <row r="143" customHeight="1" spans="2:12">
      <c r="B143" s="34"/>
      <c r="C143" s="34"/>
      <c r="H143" s="64"/>
      <c r="I143" s="64"/>
      <c r="K143" s="64"/>
      <c r="L143" s="64"/>
    </row>
    <row r="144" customHeight="1" spans="2:12">
      <c r="B144" s="34"/>
      <c r="C144" s="34"/>
      <c r="H144" s="64"/>
      <c r="I144" s="64"/>
      <c r="K144" s="64"/>
      <c r="L144" s="64"/>
    </row>
    <row r="145" customHeight="1" spans="2:12">
      <c r="B145" s="34"/>
      <c r="C145" s="34"/>
      <c r="H145" s="64"/>
      <c r="I145" s="64"/>
      <c r="K145" s="64"/>
      <c r="L145" s="64"/>
    </row>
    <row r="146" customHeight="1" spans="2:12">
      <c r="B146" s="34"/>
      <c r="C146" s="34"/>
      <c r="H146" s="64"/>
      <c r="I146" s="64"/>
      <c r="K146" s="64"/>
      <c r="L146" s="64"/>
    </row>
    <row r="147" customHeight="1" spans="2:12">
      <c r="B147" s="34"/>
      <c r="C147" s="34"/>
      <c r="H147" s="64"/>
      <c r="I147" s="64"/>
      <c r="K147" s="64"/>
      <c r="L147" s="64"/>
    </row>
    <row r="148" customHeight="1" spans="2:12">
      <c r="B148" s="34"/>
      <c r="C148" s="34"/>
      <c r="H148" s="64"/>
      <c r="I148" s="64"/>
      <c r="K148" s="64"/>
      <c r="L148" s="64"/>
    </row>
    <row r="149" customHeight="1" spans="2:12">
      <c r="B149" s="34"/>
      <c r="C149" s="34"/>
      <c r="H149" s="64"/>
      <c r="I149" s="64"/>
      <c r="K149" s="64"/>
      <c r="L149" s="64"/>
    </row>
    <row r="150" customHeight="1" spans="2:12">
      <c r="B150" s="34"/>
      <c r="C150" s="34"/>
      <c r="H150" s="64"/>
      <c r="I150" s="64"/>
      <c r="K150" s="64"/>
      <c r="L150" s="64"/>
    </row>
    <row r="151" customHeight="1" spans="2:12">
      <c r="B151" s="34"/>
      <c r="C151" s="34"/>
      <c r="H151" s="64"/>
      <c r="I151" s="64"/>
      <c r="K151" s="64"/>
      <c r="L151" s="64"/>
    </row>
    <row r="152" customHeight="1" spans="2:12">
      <c r="B152" s="34"/>
      <c r="C152" s="34"/>
      <c r="H152" s="64"/>
      <c r="I152" s="64"/>
      <c r="K152" s="64"/>
      <c r="L152" s="64"/>
    </row>
    <row r="153" customHeight="1" spans="2:12">
      <c r="B153" s="34"/>
      <c r="C153" s="34"/>
      <c r="H153" s="64"/>
      <c r="I153" s="64"/>
      <c r="K153" s="64"/>
      <c r="L153" s="64"/>
    </row>
    <row r="154" customHeight="1" spans="2:12">
      <c r="B154" s="34"/>
      <c r="C154" s="34"/>
      <c r="H154" s="64"/>
      <c r="I154" s="64"/>
      <c r="K154" s="64"/>
      <c r="L154" s="64"/>
    </row>
    <row r="155" customHeight="1" spans="2:12">
      <c r="B155" s="34"/>
      <c r="C155" s="34"/>
      <c r="H155" s="64"/>
      <c r="I155" s="64"/>
      <c r="K155" s="64"/>
      <c r="L155" s="64"/>
    </row>
    <row r="156" customHeight="1" spans="2:12">
      <c r="B156" s="34"/>
      <c r="C156" s="34"/>
      <c r="H156" s="64"/>
      <c r="I156" s="64"/>
      <c r="K156" s="64"/>
      <c r="L156" s="64"/>
    </row>
    <row r="157" customHeight="1" spans="2:12">
      <c r="B157" s="34"/>
      <c r="C157" s="34"/>
      <c r="H157" s="64"/>
      <c r="I157" s="64"/>
      <c r="K157" s="64"/>
      <c r="L157" s="64"/>
    </row>
    <row r="158" customHeight="1" spans="2:12">
      <c r="B158" s="34"/>
      <c r="C158" s="34"/>
      <c r="H158" s="64"/>
      <c r="I158" s="64"/>
      <c r="K158" s="64"/>
      <c r="L158" s="64"/>
    </row>
    <row r="159" customHeight="1" spans="2:12">
      <c r="B159" s="34"/>
      <c r="C159" s="34"/>
      <c r="H159" s="64"/>
      <c r="I159" s="64"/>
      <c r="K159" s="64"/>
      <c r="L159" s="64"/>
    </row>
    <row r="160" customHeight="1" spans="2:12">
      <c r="B160" s="34"/>
      <c r="C160" s="34"/>
      <c r="H160" s="64"/>
      <c r="I160" s="64"/>
      <c r="K160" s="64"/>
      <c r="L160" s="64"/>
    </row>
    <row r="161" customHeight="1" spans="2:12">
      <c r="B161" s="34"/>
      <c r="C161" s="34"/>
      <c r="H161" s="64"/>
      <c r="I161" s="64"/>
      <c r="K161" s="64"/>
      <c r="L161" s="64"/>
    </row>
    <row r="162" customHeight="1" spans="2:12">
      <c r="B162" s="34"/>
      <c r="C162" s="34"/>
      <c r="H162" s="64"/>
      <c r="I162" s="64"/>
      <c r="K162" s="64"/>
      <c r="L162" s="64"/>
    </row>
    <row r="163" customHeight="1" spans="2:12">
      <c r="B163" s="34"/>
      <c r="C163" s="34"/>
      <c r="H163" s="64"/>
      <c r="I163" s="64"/>
      <c r="K163" s="64"/>
      <c r="L163" s="64"/>
    </row>
    <row r="164" customHeight="1" spans="2:12">
      <c r="B164" s="34"/>
      <c r="C164" s="34"/>
      <c r="H164" s="64"/>
      <c r="I164" s="64"/>
      <c r="K164" s="64"/>
      <c r="L164" s="64"/>
    </row>
    <row r="165" customHeight="1" spans="2:12">
      <c r="B165" s="34"/>
      <c r="C165" s="34"/>
      <c r="H165" s="64"/>
      <c r="I165" s="64"/>
      <c r="K165" s="64"/>
      <c r="L165" s="64"/>
    </row>
    <row r="166" customHeight="1" spans="2:12">
      <c r="B166" s="34"/>
      <c r="C166" s="34"/>
      <c r="H166" s="64"/>
      <c r="I166" s="64"/>
      <c r="K166" s="64"/>
      <c r="L166" s="64"/>
    </row>
    <row r="167" customHeight="1" spans="2:12">
      <c r="B167" s="34"/>
      <c r="C167" s="34"/>
      <c r="H167" s="64"/>
      <c r="I167" s="64"/>
      <c r="K167" s="64"/>
      <c r="L167" s="64"/>
    </row>
    <row r="168" customHeight="1" spans="2:12">
      <c r="B168" s="34"/>
      <c r="C168" s="34"/>
      <c r="H168" s="64"/>
      <c r="I168" s="64"/>
      <c r="K168" s="64"/>
      <c r="L168" s="64"/>
    </row>
    <row r="169" customHeight="1" spans="2:12">
      <c r="B169" s="34"/>
      <c r="C169" s="34"/>
      <c r="H169" s="64"/>
      <c r="I169" s="64"/>
      <c r="K169" s="64"/>
      <c r="L169" s="64"/>
    </row>
    <row r="170" customHeight="1" spans="2:12">
      <c r="B170" s="34"/>
      <c r="C170" s="34"/>
      <c r="H170" s="64"/>
      <c r="I170" s="64"/>
      <c r="K170" s="64"/>
      <c r="L170" s="64"/>
    </row>
    <row r="171" customHeight="1" spans="2:12">
      <c r="B171" s="34"/>
      <c r="C171" s="34"/>
      <c r="H171" s="64"/>
      <c r="I171" s="64"/>
      <c r="K171" s="64"/>
      <c r="L171" s="64"/>
    </row>
    <row r="172" customHeight="1" spans="2:12">
      <c r="B172" s="34"/>
      <c r="C172" s="34"/>
      <c r="H172" s="64"/>
      <c r="I172" s="64"/>
      <c r="K172" s="64"/>
      <c r="L172" s="64"/>
    </row>
    <row r="173" customHeight="1" spans="2:12">
      <c r="B173" s="34"/>
      <c r="C173" s="34"/>
      <c r="H173" s="64"/>
      <c r="I173" s="64"/>
      <c r="K173" s="64"/>
      <c r="L173" s="64"/>
    </row>
    <row r="174" customHeight="1" spans="2:12">
      <c r="B174" s="34"/>
      <c r="C174" s="34"/>
      <c r="H174" s="64"/>
      <c r="I174" s="64"/>
      <c r="K174" s="64"/>
      <c r="L174" s="64"/>
    </row>
    <row r="175" customHeight="1" spans="2:12">
      <c r="B175" s="34"/>
      <c r="C175" s="34"/>
      <c r="H175" s="64"/>
      <c r="I175" s="64"/>
      <c r="K175" s="64"/>
      <c r="L175" s="64"/>
    </row>
    <row r="176" customHeight="1" spans="2:12">
      <c r="B176" s="34"/>
      <c r="C176" s="34"/>
      <c r="H176" s="64"/>
      <c r="I176" s="64"/>
      <c r="K176" s="64"/>
      <c r="L176" s="64"/>
    </row>
    <row r="177" customHeight="1" spans="2:12">
      <c r="B177" s="34"/>
      <c r="C177" s="34"/>
      <c r="H177" s="64"/>
      <c r="I177" s="64"/>
      <c r="K177" s="64"/>
      <c r="L177" s="64"/>
    </row>
    <row r="178" customHeight="1" spans="2:12">
      <c r="B178" s="34"/>
      <c r="C178" s="34"/>
      <c r="H178" s="64"/>
      <c r="I178" s="64"/>
      <c r="J178" s="65"/>
      <c r="K178" s="64"/>
      <c r="L178" s="64"/>
    </row>
    <row r="179" customHeight="1" spans="2:12">
      <c r="B179" s="34"/>
      <c r="C179" s="34"/>
      <c r="H179" s="64"/>
      <c r="I179" s="64"/>
      <c r="J179" s="65"/>
      <c r="K179" s="64"/>
      <c r="L179" s="64"/>
    </row>
    <row r="180" customHeight="1" spans="2:12">
      <c r="B180" s="34"/>
      <c r="C180" s="34"/>
      <c r="H180" s="64"/>
      <c r="I180" s="64"/>
      <c r="J180" s="65"/>
      <c r="K180" s="64"/>
      <c r="L180" s="64"/>
    </row>
    <row r="181" customHeight="1" spans="2:12">
      <c r="B181" s="34"/>
      <c r="C181" s="34"/>
      <c r="H181" s="64"/>
      <c r="I181" s="64"/>
      <c r="J181" s="65"/>
      <c r="K181" s="64"/>
      <c r="L181" s="64"/>
    </row>
    <row r="182" customHeight="1" spans="2:12">
      <c r="B182" s="34"/>
      <c r="C182" s="34"/>
      <c r="H182" s="64"/>
      <c r="I182" s="64"/>
      <c r="J182" s="65"/>
      <c r="K182" s="64"/>
      <c r="L182" s="64"/>
    </row>
    <row r="183" customHeight="1" spans="2:12">
      <c r="B183" s="34"/>
      <c r="C183" s="34"/>
      <c r="H183" s="64"/>
      <c r="I183" s="64"/>
      <c r="J183" s="65"/>
      <c r="K183" s="64"/>
      <c r="L183" s="64"/>
    </row>
    <row r="184" customHeight="1" spans="2:12">
      <c r="B184" s="34"/>
      <c r="C184" s="34"/>
      <c r="H184" s="64"/>
      <c r="I184" s="64"/>
      <c r="J184" s="65"/>
      <c r="K184" s="64"/>
      <c r="L184" s="64"/>
    </row>
    <row r="185" customHeight="1" spans="2:12">
      <c r="B185" s="34"/>
      <c r="C185" s="34"/>
      <c r="H185" s="64"/>
      <c r="I185" s="64"/>
      <c r="J185" s="65"/>
      <c r="K185" s="64"/>
      <c r="L185" s="64"/>
    </row>
    <row r="186" customHeight="1" spans="2:12">
      <c r="B186" s="34"/>
      <c r="C186" s="34"/>
      <c r="H186" s="64"/>
      <c r="I186" s="64"/>
      <c r="J186" s="65"/>
      <c r="K186" s="64"/>
      <c r="L186" s="64"/>
    </row>
    <row r="187" customHeight="1" spans="2:12">
      <c r="B187" s="34"/>
      <c r="C187" s="34"/>
      <c r="H187" s="64"/>
      <c r="I187" s="64"/>
      <c r="J187" s="65"/>
      <c r="K187" s="64"/>
      <c r="L187" s="64"/>
    </row>
    <row r="188" customHeight="1" spans="2:12">
      <c r="B188" s="34"/>
      <c r="C188" s="34"/>
      <c r="H188" s="64"/>
      <c r="I188" s="64"/>
      <c r="J188" s="65"/>
      <c r="K188" s="64"/>
      <c r="L188" s="64"/>
    </row>
    <row r="189" customHeight="1" spans="2:12">
      <c r="B189" s="34"/>
      <c r="C189" s="34"/>
      <c r="H189" s="64"/>
      <c r="I189" s="64"/>
      <c r="J189" s="65"/>
      <c r="K189" s="64"/>
      <c r="L189" s="64"/>
    </row>
    <row r="190" customHeight="1" spans="2:12">
      <c r="B190" s="34"/>
      <c r="C190" s="34"/>
      <c r="H190" s="64"/>
      <c r="I190" s="64"/>
      <c r="J190" s="65"/>
      <c r="K190" s="64"/>
      <c r="L190" s="64"/>
    </row>
    <row r="191" customHeight="1" spans="2:12">
      <c r="B191" s="34"/>
      <c r="C191" s="34"/>
      <c r="H191" s="64"/>
      <c r="I191" s="64"/>
      <c r="J191" s="65"/>
      <c r="K191" s="64"/>
      <c r="L191" s="64"/>
    </row>
    <row r="192" customHeight="1" spans="2:12">
      <c r="B192" s="34"/>
      <c r="C192" s="34"/>
      <c r="H192" s="64"/>
      <c r="I192" s="64"/>
      <c r="J192" s="65"/>
      <c r="K192" s="64"/>
      <c r="L192" s="64"/>
    </row>
    <row r="193" customHeight="1" spans="2:12">
      <c r="B193" s="34"/>
      <c r="C193" s="34"/>
      <c r="H193" s="64"/>
      <c r="I193" s="64"/>
      <c r="J193" s="65"/>
      <c r="K193" s="64"/>
      <c r="L193" s="64"/>
    </row>
    <row r="194" customHeight="1" spans="2:12">
      <c r="B194" s="34"/>
      <c r="C194" s="34"/>
      <c r="H194" s="64"/>
      <c r="I194" s="64"/>
      <c r="J194" s="65"/>
      <c r="K194" s="64"/>
      <c r="L194" s="64"/>
    </row>
    <row r="195" customHeight="1" spans="2:12">
      <c r="B195" s="34"/>
      <c r="C195" s="34"/>
      <c r="H195" s="64"/>
      <c r="I195" s="64"/>
      <c r="J195" s="65"/>
      <c r="K195" s="64"/>
      <c r="L195" s="64"/>
    </row>
    <row r="196" customHeight="1" spans="2:12">
      <c r="B196" s="34"/>
      <c r="C196" s="34"/>
      <c r="H196" s="64"/>
      <c r="I196" s="64"/>
      <c r="J196" s="65"/>
      <c r="K196" s="64"/>
      <c r="L196" s="64"/>
    </row>
    <row r="197" customHeight="1" spans="2:12">
      <c r="B197" s="34"/>
      <c r="C197" s="34"/>
      <c r="H197" s="64"/>
      <c r="I197" s="64"/>
      <c r="J197" s="65"/>
      <c r="K197" s="64"/>
      <c r="L197" s="64"/>
    </row>
    <row r="198" customHeight="1" spans="2:12">
      <c r="B198" s="34"/>
      <c r="C198" s="34"/>
      <c r="H198" s="64"/>
      <c r="I198" s="64"/>
      <c r="J198" s="65"/>
      <c r="K198" s="64"/>
      <c r="L198" s="64"/>
    </row>
    <row r="199" customHeight="1" spans="2:12">
      <c r="B199" s="34"/>
      <c r="C199" s="34"/>
      <c r="H199" s="64"/>
      <c r="I199" s="64"/>
      <c r="J199" s="65"/>
      <c r="K199" s="64"/>
      <c r="L199" s="64"/>
    </row>
    <row r="200" customHeight="1" spans="2:12">
      <c r="B200" s="34"/>
      <c r="C200" s="34"/>
      <c r="H200" s="64"/>
      <c r="I200" s="64"/>
      <c r="J200" s="65"/>
      <c r="K200" s="64"/>
      <c r="L200" s="64"/>
    </row>
    <row r="201" customHeight="1" spans="2:12">
      <c r="B201" s="34"/>
      <c r="C201" s="34"/>
      <c r="H201" s="64"/>
      <c r="I201" s="64"/>
      <c r="J201" s="65"/>
      <c r="K201" s="64"/>
      <c r="L201" s="64"/>
    </row>
    <row r="202" customHeight="1" spans="2:12">
      <c r="B202" s="34"/>
      <c r="C202" s="34"/>
      <c r="H202" s="64"/>
      <c r="I202" s="64"/>
      <c r="J202" s="65"/>
      <c r="K202" s="64"/>
      <c r="L202" s="64"/>
    </row>
    <row r="203" customHeight="1" spans="2:12">
      <c r="B203" s="34"/>
      <c r="C203" s="34"/>
      <c r="H203" s="64"/>
      <c r="I203" s="64"/>
      <c r="J203" s="65"/>
      <c r="K203" s="64"/>
      <c r="L203" s="64"/>
    </row>
    <row r="204" customHeight="1" spans="2:12">
      <c r="B204" s="34"/>
      <c r="C204" s="34"/>
      <c r="H204" s="64"/>
      <c r="I204" s="64"/>
      <c r="J204" s="65"/>
      <c r="K204" s="64"/>
      <c r="L204" s="64"/>
    </row>
    <row r="205" customHeight="1" spans="2:12">
      <c r="B205" s="34"/>
      <c r="C205" s="34"/>
      <c r="H205" s="64"/>
      <c r="I205" s="64"/>
      <c r="J205" s="65"/>
      <c r="K205" s="64"/>
      <c r="L205" s="64"/>
    </row>
    <row r="206" customHeight="1" spans="2:12">
      <c r="B206" s="34"/>
      <c r="C206" s="34"/>
      <c r="H206" s="64"/>
      <c r="I206" s="64"/>
      <c r="J206" s="65"/>
      <c r="K206" s="64"/>
      <c r="L206" s="64"/>
    </row>
    <row r="207" customHeight="1" spans="2:12">
      <c r="B207" s="34"/>
      <c r="C207" s="34"/>
      <c r="H207" s="64"/>
      <c r="I207" s="64"/>
      <c r="J207" s="65"/>
      <c r="K207" s="64"/>
      <c r="L207" s="64"/>
    </row>
    <row r="208" customHeight="1" spans="2:12">
      <c r="B208" s="34"/>
      <c r="C208" s="34"/>
      <c r="H208" s="64"/>
      <c r="I208" s="64"/>
      <c r="J208" s="65"/>
      <c r="K208" s="64"/>
      <c r="L208" s="64"/>
    </row>
    <row r="209" customHeight="1" spans="2:12">
      <c r="B209" s="34"/>
      <c r="C209" s="34"/>
      <c r="H209" s="64"/>
      <c r="I209" s="64"/>
      <c r="J209" s="65"/>
      <c r="K209" s="64"/>
      <c r="L209" s="64"/>
    </row>
    <row r="210" customHeight="1" spans="2:12">
      <c r="B210" s="34"/>
      <c r="C210" s="34"/>
      <c r="H210" s="64"/>
      <c r="I210" s="64"/>
      <c r="J210" s="65"/>
      <c r="K210" s="64"/>
      <c r="L210" s="64"/>
    </row>
    <row r="211" customHeight="1" spans="2:12">
      <c r="B211" s="34"/>
      <c r="C211" s="34"/>
      <c r="H211" s="64"/>
      <c r="I211" s="64"/>
      <c r="J211" s="65"/>
      <c r="K211" s="64"/>
      <c r="L211" s="64"/>
    </row>
    <row r="212" customHeight="1" spans="2:12">
      <c r="B212" s="34"/>
      <c r="C212" s="34"/>
      <c r="H212" s="64"/>
      <c r="I212" s="64"/>
      <c r="J212" s="65"/>
      <c r="K212" s="64"/>
      <c r="L212" s="64"/>
    </row>
    <row r="213" customHeight="1" spans="2:12">
      <c r="B213" s="34"/>
      <c r="C213" s="34"/>
      <c r="H213" s="64"/>
      <c r="I213" s="64"/>
      <c r="J213" s="65"/>
      <c r="K213" s="64"/>
      <c r="L213" s="64"/>
    </row>
    <row r="214" customHeight="1" spans="2:12">
      <c r="B214" s="34"/>
      <c r="C214" s="34"/>
      <c r="H214" s="64"/>
      <c r="I214" s="64"/>
      <c r="J214" s="65"/>
      <c r="K214" s="64"/>
      <c r="L214" s="64"/>
    </row>
    <row r="215" customHeight="1" spans="2:12">
      <c r="B215" s="34"/>
      <c r="C215" s="34"/>
      <c r="H215" s="64"/>
      <c r="I215" s="64"/>
      <c r="J215" s="65"/>
      <c r="K215" s="64"/>
      <c r="L215" s="64"/>
    </row>
    <row r="216" customHeight="1" spans="2:12">
      <c r="B216" s="34"/>
      <c r="C216" s="34"/>
      <c r="H216" s="64"/>
      <c r="I216" s="64"/>
      <c r="J216" s="65"/>
      <c r="K216" s="64"/>
      <c r="L216" s="64"/>
    </row>
    <row r="217" customHeight="1" spans="2:12">
      <c r="B217" s="34"/>
      <c r="C217" s="34"/>
      <c r="H217" s="64"/>
      <c r="I217" s="64"/>
      <c r="J217" s="65"/>
      <c r="K217" s="64"/>
      <c r="L217" s="64"/>
    </row>
    <row r="218" customHeight="1" spans="2:12">
      <c r="B218" s="34"/>
      <c r="C218" s="34"/>
      <c r="H218" s="64"/>
      <c r="I218" s="64"/>
      <c r="J218" s="65"/>
      <c r="K218" s="64"/>
      <c r="L218" s="64"/>
    </row>
    <row r="219" customHeight="1" spans="2:12">
      <c r="B219" s="34"/>
      <c r="C219" s="34"/>
      <c r="H219" s="64"/>
      <c r="I219" s="64"/>
      <c r="J219" s="65"/>
      <c r="K219" s="64"/>
      <c r="L219" s="64"/>
    </row>
    <row r="220" customHeight="1" spans="2:12">
      <c r="B220" s="34"/>
      <c r="C220" s="34"/>
      <c r="H220" s="64"/>
      <c r="I220" s="64"/>
      <c r="J220" s="65"/>
      <c r="K220" s="64"/>
      <c r="L220" s="64"/>
    </row>
    <row r="221" customHeight="1" spans="2:12">
      <c r="B221" s="34"/>
      <c r="C221" s="34"/>
      <c r="H221" s="64"/>
      <c r="I221" s="64"/>
      <c r="J221" s="65"/>
      <c r="K221" s="64"/>
      <c r="L221" s="64"/>
    </row>
    <row r="222" customHeight="1" spans="2:12">
      <c r="B222" s="34"/>
      <c r="C222" s="34"/>
      <c r="H222" s="64"/>
      <c r="I222" s="64"/>
      <c r="J222" s="65"/>
      <c r="K222" s="64"/>
      <c r="L222" s="64"/>
    </row>
    <row r="223" customHeight="1" spans="2:12">
      <c r="B223" s="34"/>
      <c r="C223" s="34"/>
      <c r="H223" s="64"/>
      <c r="I223" s="64"/>
      <c r="J223" s="65"/>
      <c r="K223" s="64"/>
      <c r="L223" s="64"/>
    </row>
    <row r="224" customHeight="1" spans="2:12">
      <c r="B224" s="34"/>
      <c r="C224" s="34"/>
      <c r="H224" s="64"/>
      <c r="I224" s="64"/>
      <c r="J224" s="65"/>
      <c r="K224" s="64"/>
      <c r="L224" s="64"/>
    </row>
    <row r="225" customHeight="1" spans="2:12">
      <c r="B225" s="34"/>
      <c r="C225" s="34"/>
      <c r="H225" s="64"/>
      <c r="I225" s="64"/>
      <c r="J225" s="65"/>
      <c r="K225" s="64"/>
      <c r="L225" s="64"/>
    </row>
  </sheetData>
  <mergeCells count="11">
    <mergeCell ref="G1:L1"/>
    <mergeCell ref="N1:S1"/>
    <mergeCell ref="B95:E95"/>
    <mergeCell ref="A1:A2"/>
    <mergeCell ref="B1:B2"/>
    <mergeCell ref="C1:C2"/>
    <mergeCell ref="D1:D2"/>
    <mergeCell ref="E1:E2"/>
    <mergeCell ref="T1:T2"/>
    <mergeCell ref="U1:U2"/>
    <mergeCell ref="V1:V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" defaultRowHeight="16.5" customHeight="1"/>
  <cols>
    <col min="1" max="2" width="12.375" customWidth="1"/>
    <col min="3" max="3" width="9.75" customWidth="1"/>
    <col min="4" max="4" width="11.75" customWidth="1"/>
    <col min="5" max="5" width="9.5" customWidth="1"/>
    <col min="6" max="6" width="12.375" customWidth="1"/>
    <col min="7" max="7" width="10.625" customWidth="1"/>
    <col min="8" max="8" width="10" customWidth="1"/>
    <col min="9" max="9" width="10.625" customWidth="1"/>
    <col min="10" max="10" width="11.25" customWidth="1"/>
    <col min="11" max="11" width="13.75" customWidth="1"/>
    <col min="12" max="12" width="11.875" customWidth="1"/>
    <col min="13" max="13" width="10.625" customWidth="1"/>
    <col min="14" max="14" width="11.875" customWidth="1"/>
    <col min="15" max="15" width="10.625" customWidth="1"/>
    <col min="16" max="16" width="11.875" customWidth="1"/>
    <col min="17" max="17" width="10.625" customWidth="1"/>
    <col min="18" max="18" width="11.875" customWidth="1"/>
    <col min="19" max="19" width="10.625" customWidth="1"/>
    <col min="20" max="20" width="15.375" customWidth="1"/>
    <col min="21" max="21" width="10.625" customWidth="1"/>
    <col min="22" max="22" width="11.625" customWidth="1"/>
  </cols>
  <sheetData>
    <row r="1" ht="43.5" customHeight="1" spans="1:22">
      <c r="A1" s="24" t="s">
        <v>42</v>
      </c>
      <c r="B1" s="25" t="s">
        <v>43</v>
      </c>
      <c r="C1" s="29" t="s">
        <v>44</v>
      </c>
      <c r="D1" s="25" t="s">
        <v>45</v>
      </c>
      <c r="E1" s="29" t="s">
        <v>44</v>
      </c>
      <c r="F1" s="25" t="s">
        <v>46</v>
      </c>
      <c r="G1" s="29" t="s">
        <v>44</v>
      </c>
      <c r="H1" s="25" t="s">
        <v>47</v>
      </c>
      <c r="I1" s="29" t="s">
        <v>44</v>
      </c>
      <c r="J1" s="25" t="s">
        <v>48</v>
      </c>
      <c r="K1" s="29" t="s">
        <v>44</v>
      </c>
      <c r="L1" s="25" t="s">
        <v>49</v>
      </c>
      <c r="M1" s="29" t="s">
        <v>44</v>
      </c>
      <c r="N1" s="25" t="s">
        <v>50</v>
      </c>
      <c r="O1" s="29" t="s">
        <v>44</v>
      </c>
      <c r="P1" s="25" t="s">
        <v>51</v>
      </c>
      <c r="Q1" s="29" t="s">
        <v>44</v>
      </c>
      <c r="R1" s="25" t="s">
        <v>52</v>
      </c>
      <c r="S1" s="29" t="s">
        <v>44</v>
      </c>
      <c r="T1" s="25" t="s">
        <v>53</v>
      </c>
      <c r="U1" s="29" t="s">
        <v>44</v>
      </c>
      <c r="V1" s="25" t="s">
        <v>54</v>
      </c>
    </row>
    <row r="2" ht="18" customHeight="1" spans="1:22">
      <c r="A2" s="26">
        <v>45308</v>
      </c>
      <c r="B2" s="27">
        <f t="shared" ref="B2:B17" si="0">D2+F2+H2+J2+L2</f>
        <v>8497.17762313077</v>
      </c>
      <c r="C2" s="30"/>
      <c r="D2" s="27"/>
      <c r="E2" s="30"/>
      <c r="F2" s="27">
        <v>8497.17762313077</v>
      </c>
      <c r="G2" s="30"/>
      <c r="H2" s="27"/>
      <c r="I2" s="30"/>
      <c r="J2" s="27"/>
      <c r="K2" s="30"/>
      <c r="L2" s="27"/>
      <c r="M2" s="30"/>
      <c r="N2" s="27"/>
      <c r="O2" s="30"/>
      <c r="P2" s="27"/>
      <c r="Q2" s="30"/>
      <c r="R2" s="27"/>
      <c r="S2" s="30"/>
      <c r="T2" s="27">
        <v>225369.2</v>
      </c>
      <c r="U2" s="30"/>
      <c r="V2" s="31">
        <f t="shared" ref="V2:V21" si="1">B2/T2</f>
        <v>0.0377033668448518</v>
      </c>
    </row>
    <row r="3" ht="18" customHeight="1" spans="1:22">
      <c r="A3" s="26">
        <v>45339</v>
      </c>
      <c r="B3" s="27">
        <f t="shared" si="0"/>
        <v>9222.62992774454</v>
      </c>
      <c r="C3" s="32">
        <f t="shared" ref="C3:C21" si="2">(B3-B2)/B2</f>
        <v>0.0853756784651605</v>
      </c>
      <c r="D3" s="27"/>
      <c r="E3" s="32"/>
      <c r="F3" s="27">
        <v>9222.62992774454</v>
      </c>
      <c r="G3" s="32">
        <f t="shared" ref="G3:G21" si="3">(F3-F2)/F2</f>
        <v>0.0853756784651605</v>
      </c>
      <c r="H3" s="27"/>
      <c r="I3" s="32"/>
      <c r="J3" s="27"/>
      <c r="K3" s="32"/>
      <c r="L3" s="27"/>
      <c r="M3" s="32"/>
      <c r="N3" s="27"/>
      <c r="O3" s="32"/>
      <c r="P3" s="27"/>
      <c r="Q3" s="32"/>
      <c r="R3" s="27"/>
      <c r="S3" s="32"/>
      <c r="T3" s="27">
        <v>215735.42</v>
      </c>
      <c r="U3" s="32">
        <f t="shared" ref="U3:U21" si="4">(T3-T2)/T2</f>
        <v>-0.0427466574846962</v>
      </c>
      <c r="V3" s="31">
        <f t="shared" si="1"/>
        <v>0.042749725231696</v>
      </c>
    </row>
    <row r="4" ht="18" customHeight="1" spans="1:22">
      <c r="A4" s="26">
        <v>45368</v>
      </c>
      <c r="B4" s="27">
        <f t="shared" si="0"/>
        <v>21457.004638213</v>
      </c>
      <c r="C4" s="32">
        <f t="shared" si="2"/>
        <v>1.32656029856122</v>
      </c>
      <c r="D4" s="27">
        <v>11832.2555814046</v>
      </c>
      <c r="E4" s="32"/>
      <c r="F4" s="27">
        <v>9624.74905680837</v>
      </c>
      <c r="G4" s="32">
        <f t="shared" si="3"/>
        <v>0.0436013514815477</v>
      </c>
      <c r="H4" s="27">
        <v>0</v>
      </c>
      <c r="I4" s="32"/>
      <c r="J4" s="27">
        <v>0</v>
      </c>
      <c r="K4" s="32"/>
      <c r="L4" s="27">
        <v>0</v>
      </c>
      <c r="M4" s="32"/>
      <c r="N4" s="27"/>
      <c r="O4" s="32"/>
      <c r="P4" s="27"/>
      <c r="Q4" s="32"/>
      <c r="R4" s="27"/>
      <c r="S4" s="32"/>
      <c r="T4" s="27">
        <v>388139.23</v>
      </c>
      <c r="U4" s="32">
        <f t="shared" si="4"/>
        <v>0.7991446652571</v>
      </c>
      <c r="V4" s="31">
        <f t="shared" si="1"/>
        <v>0.0552817210417328</v>
      </c>
    </row>
    <row r="5" ht="18" customHeight="1" spans="1:22">
      <c r="A5" s="26">
        <v>45399</v>
      </c>
      <c r="B5" s="27">
        <f t="shared" si="0"/>
        <v>12937.4516830092</v>
      </c>
      <c r="C5" s="32">
        <f t="shared" si="2"/>
        <v>-0.397052295921643</v>
      </c>
      <c r="D5" s="27">
        <v>6701.552480172</v>
      </c>
      <c r="E5" s="32">
        <f t="shared" ref="E5:E21" si="5">(D5-D4)/D4</f>
        <v>-0.43362003685045</v>
      </c>
      <c r="F5" s="27">
        <v>6235.89920283717</v>
      </c>
      <c r="G5" s="32">
        <f t="shared" si="3"/>
        <v>-0.352097476408903</v>
      </c>
      <c r="H5" s="27">
        <v>0</v>
      </c>
      <c r="I5" s="32"/>
      <c r="J5" s="27">
        <v>0</v>
      </c>
      <c r="K5" s="32"/>
      <c r="L5" s="27">
        <v>0</v>
      </c>
      <c r="M5" s="32"/>
      <c r="N5" s="27"/>
      <c r="O5" s="32"/>
      <c r="P5" s="27"/>
      <c r="Q5" s="32"/>
      <c r="R5" s="27"/>
      <c r="S5" s="32"/>
      <c r="T5" s="27">
        <v>376150.23</v>
      </c>
      <c r="U5" s="32">
        <f t="shared" si="4"/>
        <v>-0.0308884005360654</v>
      </c>
      <c r="V5" s="31">
        <f t="shared" si="1"/>
        <v>0.034394373979272</v>
      </c>
    </row>
    <row r="6" ht="18" customHeight="1" spans="1:22">
      <c r="A6" s="26">
        <v>45429</v>
      </c>
      <c r="B6" s="27">
        <f t="shared" si="0"/>
        <v>18334.1989257148</v>
      </c>
      <c r="C6" s="32">
        <f t="shared" si="2"/>
        <v>0.417141441370036</v>
      </c>
      <c r="D6" s="27">
        <v>5717.37949107975</v>
      </c>
      <c r="E6" s="32">
        <f t="shared" si="5"/>
        <v>-0.14685746205885</v>
      </c>
      <c r="F6" s="27">
        <v>11923.1443962444</v>
      </c>
      <c r="G6" s="32">
        <f t="shared" si="3"/>
        <v>0.912016857299374</v>
      </c>
      <c r="H6" s="27">
        <v>223.585038390663</v>
      </c>
      <c r="I6" s="32" t="e">
        <f t="shared" ref="I6:I21" si="6">(H6-H5)/H5</f>
        <v>#DIV/0!</v>
      </c>
      <c r="J6" s="27">
        <v>390.97</v>
      </c>
      <c r="K6" s="32" t="e">
        <f t="shared" ref="K6:K21" si="7">(J6-J5)/J5</f>
        <v>#DIV/0!</v>
      </c>
      <c r="L6" s="27">
        <v>79.12</v>
      </c>
      <c r="M6" s="32" t="e">
        <f t="shared" ref="M6:M21" si="8">(L6-L5)/L5</f>
        <v>#DIV/0!</v>
      </c>
      <c r="N6" s="27"/>
      <c r="O6" s="32"/>
      <c r="P6" s="27"/>
      <c r="Q6" s="32"/>
      <c r="R6" s="27"/>
      <c r="S6" s="32"/>
      <c r="T6" s="27">
        <v>741129.3</v>
      </c>
      <c r="U6" s="32">
        <f t="shared" si="4"/>
        <v>0.970301334123869</v>
      </c>
      <c r="V6" s="31">
        <f t="shared" si="1"/>
        <v>0.0247381920074065</v>
      </c>
    </row>
    <row r="7" ht="18" customHeight="1" spans="1:22">
      <c r="A7" s="26">
        <v>45460</v>
      </c>
      <c r="B7" s="27">
        <f t="shared" si="0"/>
        <v>17619.244533202</v>
      </c>
      <c r="C7" s="32">
        <f t="shared" si="2"/>
        <v>-0.0389956711721945</v>
      </c>
      <c r="D7" s="27">
        <v>5637.42390847669</v>
      </c>
      <c r="E7" s="32">
        <f t="shared" si="5"/>
        <v>-0.0139846555100648</v>
      </c>
      <c r="F7" s="27">
        <v>10690.9914322891</v>
      </c>
      <c r="G7" s="32">
        <f t="shared" si="3"/>
        <v>-0.103341276680622</v>
      </c>
      <c r="H7" s="27">
        <v>125.447577015806</v>
      </c>
      <c r="I7" s="32">
        <f t="shared" si="6"/>
        <v>-0.438926781868939</v>
      </c>
      <c r="J7" s="27">
        <v>679.652263206542</v>
      </c>
      <c r="K7" s="32">
        <f t="shared" si="7"/>
        <v>0.738374461484364</v>
      </c>
      <c r="L7" s="27">
        <v>485.729352213892</v>
      </c>
      <c r="M7" s="32">
        <f t="shared" si="8"/>
        <v>5.13914752545364</v>
      </c>
      <c r="N7" s="27"/>
      <c r="O7" s="32"/>
      <c r="P7" s="27"/>
      <c r="Q7" s="32"/>
      <c r="R7" s="27"/>
      <c r="S7" s="32"/>
      <c r="T7" s="27">
        <v>864044.36</v>
      </c>
      <c r="U7" s="32">
        <f t="shared" si="4"/>
        <v>0.165848334426935</v>
      </c>
      <c r="V7" s="31">
        <f t="shared" si="1"/>
        <v>0.0203915971781843</v>
      </c>
    </row>
    <row r="8" ht="18" customHeight="1" spans="1:22">
      <c r="A8" s="26">
        <v>45490</v>
      </c>
      <c r="B8" s="27">
        <f t="shared" si="0"/>
        <v>15197.4052235211</v>
      </c>
      <c r="C8" s="32">
        <f t="shared" si="2"/>
        <v>-0.137454208386581</v>
      </c>
      <c r="D8" s="27">
        <v>5830.89210786782</v>
      </c>
      <c r="E8" s="32">
        <f t="shared" si="5"/>
        <v>0.0343185473599428</v>
      </c>
      <c r="F8" s="27">
        <v>7527.25758598662</v>
      </c>
      <c r="G8" s="32">
        <f t="shared" si="3"/>
        <v>-0.295925206407642</v>
      </c>
      <c r="H8" s="27">
        <v>280.450085210508</v>
      </c>
      <c r="I8" s="32">
        <f t="shared" si="6"/>
        <v>1.23559587105594</v>
      </c>
      <c r="J8" s="27">
        <v>946.242036782982</v>
      </c>
      <c r="K8" s="32">
        <f t="shared" si="7"/>
        <v>0.392244369670296</v>
      </c>
      <c r="L8" s="27">
        <v>612.563407673216</v>
      </c>
      <c r="M8" s="32">
        <f t="shared" si="8"/>
        <v>0.261120837934193</v>
      </c>
      <c r="N8" s="27"/>
      <c r="O8" s="32"/>
      <c r="P8" s="27"/>
      <c r="Q8" s="32"/>
      <c r="R8" s="27"/>
      <c r="S8" s="32"/>
      <c r="T8" s="27">
        <v>910196.54</v>
      </c>
      <c r="U8" s="32">
        <f t="shared" si="4"/>
        <v>0.0534141325799523</v>
      </c>
      <c r="V8" s="31">
        <f t="shared" si="1"/>
        <v>0.0166968391502797</v>
      </c>
    </row>
    <row r="9" ht="18" customHeight="1" spans="1:22">
      <c r="A9" s="26">
        <v>45521</v>
      </c>
      <c r="B9" s="27">
        <f t="shared" si="0"/>
        <v>16491.2619526741</v>
      </c>
      <c r="C9" s="32">
        <f t="shared" si="2"/>
        <v>0.0851366868306176</v>
      </c>
      <c r="D9" s="27">
        <v>6001.51536432025</v>
      </c>
      <c r="E9" s="32">
        <f t="shared" si="5"/>
        <v>0.0292619471079223</v>
      </c>
      <c r="F9" s="27">
        <v>8929.23657625408</v>
      </c>
      <c r="G9" s="32">
        <f t="shared" si="3"/>
        <v>0.186253622152841</v>
      </c>
      <c r="H9" s="27">
        <v>181.63827543233</v>
      </c>
      <c r="I9" s="32">
        <f t="shared" si="6"/>
        <v>-0.3523329640068</v>
      </c>
      <c r="J9" s="27">
        <v>801.109255952506</v>
      </c>
      <c r="K9" s="32">
        <f t="shared" si="7"/>
        <v>-0.153378073673302</v>
      </c>
      <c r="L9" s="27">
        <v>577.762480714896</v>
      </c>
      <c r="M9" s="32">
        <f t="shared" si="8"/>
        <v>-0.0568119586027986</v>
      </c>
      <c r="N9" s="27"/>
      <c r="O9" s="32"/>
      <c r="P9" s="27"/>
      <c r="Q9" s="32"/>
      <c r="R9" s="27"/>
      <c r="S9" s="32"/>
      <c r="T9" s="27">
        <v>959108.42</v>
      </c>
      <c r="U9" s="32">
        <f t="shared" si="4"/>
        <v>0.0537377125164638</v>
      </c>
      <c r="V9" s="31">
        <f t="shared" si="1"/>
        <v>0.0171943667772973</v>
      </c>
    </row>
    <row r="10" ht="18" customHeight="1" spans="1:22">
      <c r="A10" s="26">
        <v>45552</v>
      </c>
      <c r="B10" s="27">
        <f t="shared" si="0"/>
        <v>13849.7177587075</v>
      </c>
      <c r="C10" s="32">
        <f t="shared" si="2"/>
        <v>-0.160178414577802</v>
      </c>
      <c r="D10" s="27">
        <v>5620.35235962383</v>
      </c>
      <c r="E10" s="32">
        <f t="shared" si="5"/>
        <v>-0.0635111270334291</v>
      </c>
      <c r="F10" s="27">
        <v>5760.19754334029</v>
      </c>
      <c r="G10" s="32">
        <f t="shared" si="3"/>
        <v>-0.354905932422191</v>
      </c>
      <c r="H10" s="27">
        <v>320.841143247816</v>
      </c>
      <c r="I10" s="32">
        <f t="shared" si="6"/>
        <v>0.766374088744013</v>
      </c>
      <c r="J10" s="27">
        <v>1035.92685526696</v>
      </c>
      <c r="K10" s="32">
        <f t="shared" si="7"/>
        <v>0.293115573899168</v>
      </c>
      <c r="L10" s="27">
        <v>1112.3998572286</v>
      </c>
      <c r="M10" s="32">
        <f t="shared" si="8"/>
        <v>0.925358420387854</v>
      </c>
      <c r="N10" s="27"/>
      <c r="O10" s="32"/>
      <c r="P10" s="27"/>
      <c r="Q10" s="32"/>
      <c r="R10" s="27"/>
      <c r="S10" s="32"/>
      <c r="T10" s="27">
        <v>1037011.38</v>
      </c>
      <c r="U10" s="32">
        <f t="shared" si="4"/>
        <v>0.0812243520914976</v>
      </c>
      <c r="V10" s="31">
        <f t="shared" si="1"/>
        <v>0.0133554154041275</v>
      </c>
    </row>
    <row r="11" ht="18" customHeight="1" spans="1:22">
      <c r="A11" s="26">
        <v>45582</v>
      </c>
      <c r="B11" s="27">
        <f t="shared" si="0"/>
        <v>21275.8167525571</v>
      </c>
      <c r="C11" s="32">
        <f t="shared" si="2"/>
        <v>0.536191359508445</v>
      </c>
      <c r="D11" s="27">
        <v>9359.66901438969</v>
      </c>
      <c r="E11" s="32">
        <f t="shared" si="5"/>
        <v>0.665317121685967</v>
      </c>
      <c r="F11" s="27">
        <v>7964.71240617934</v>
      </c>
      <c r="G11" s="32">
        <f t="shared" si="3"/>
        <v>0.382715149307305</v>
      </c>
      <c r="H11" s="27">
        <v>495.774632228571</v>
      </c>
      <c r="I11" s="32">
        <f t="shared" si="6"/>
        <v>0.545233965974362</v>
      </c>
      <c r="J11" s="27">
        <v>1634.78558067881</v>
      </c>
      <c r="K11" s="32">
        <f t="shared" si="7"/>
        <v>0.578089777639294</v>
      </c>
      <c r="L11" s="27">
        <v>1820.87511908071</v>
      </c>
      <c r="M11" s="32">
        <f t="shared" si="8"/>
        <v>0.636889026233053</v>
      </c>
      <c r="N11" s="27"/>
      <c r="O11" s="32"/>
      <c r="P11" s="27"/>
      <c r="Q11" s="32"/>
      <c r="R11" s="27"/>
      <c r="S11" s="32"/>
      <c r="T11" s="27">
        <v>1623333.01</v>
      </c>
      <c r="U11" s="32">
        <f t="shared" si="4"/>
        <v>0.565395560075725</v>
      </c>
      <c r="V11" s="31">
        <f t="shared" si="1"/>
        <v>0.0131062552301312</v>
      </c>
    </row>
    <row r="12" ht="18" customHeight="1" spans="1:22">
      <c r="A12" s="26">
        <v>45613</v>
      </c>
      <c r="B12" s="27">
        <f t="shared" si="0"/>
        <v>59937.2978380665</v>
      </c>
      <c r="C12" s="32">
        <f t="shared" si="2"/>
        <v>1.81715614188408</v>
      </c>
      <c r="D12" s="27">
        <v>23717.3347316043</v>
      </c>
      <c r="E12" s="32">
        <f t="shared" si="5"/>
        <v>1.53399288961404</v>
      </c>
      <c r="F12" s="27">
        <v>27459.078828777</v>
      </c>
      <c r="G12" s="32">
        <f t="shared" si="3"/>
        <v>2.44759200689697</v>
      </c>
      <c r="H12" s="27">
        <v>1859.87253866089</v>
      </c>
      <c r="I12" s="32">
        <f t="shared" si="6"/>
        <v>2.75144756862715</v>
      </c>
      <c r="J12" s="27">
        <v>3280.463386649</v>
      </c>
      <c r="K12" s="32">
        <f t="shared" si="7"/>
        <v>1.00666278527295</v>
      </c>
      <c r="L12" s="27">
        <v>3620.54835237527</v>
      </c>
      <c r="M12" s="32">
        <f t="shared" si="8"/>
        <v>0.988356210942761</v>
      </c>
      <c r="N12" s="27"/>
      <c r="O12" s="32"/>
      <c r="P12" s="27"/>
      <c r="Q12" s="32"/>
      <c r="R12" s="27"/>
      <c r="S12" s="32"/>
      <c r="T12" s="27">
        <v>4574907.2</v>
      </c>
      <c r="U12" s="32">
        <f t="shared" si="4"/>
        <v>1.81821854900862</v>
      </c>
      <c r="V12" s="31">
        <f t="shared" si="1"/>
        <v>0.0131013144568411</v>
      </c>
    </row>
    <row r="13" ht="18" customHeight="1" spans="1:22">
      <c r="A13" s="26">
        <v>45643</v>
      </c>
      <c r="B13" s="27">
        <f t="shared" si="0"/>
        <v>61329.0051402747</v>
      </c>
      <c r="C13" s="32">
        <f t="shared" si="2"/>
        <v>0.0232193867993229</v>
      </c>
      <c r="D13" s="27">
        <v>23794.4747143787</v>
      </c>
      <c r="E13" s="32">
        <f t="shared" si="5"/>
        <v>0.00325247265965374</v>
      </c>
      <c r="F13" s="27">
        <v>31506.5287934013</v>
      </c>
      <c r="G13" s="32">
        <f t="shared" si="3"/>
        <v>0.147399335202119</v>
      </c>
      <c r="H13" s="27">
        <v>3603.9284116093</v>
      </c>
      <c r="I13" s="32">
        <f t="shared" si="6"/>
        <v>0.937728708121112</v>
      </c>
      <c r="J13" s="27">
        <v>526.37191801219</v>
      </c>
      <c r="K13" s="32">
        <f t="shared" si="7"/>
        <v>-0.8395434254336</v>
      </c>
      <c r="L13" s="27">
        <v>1897.70130287326</v>
      </c>
      <c r="M13" s="32">
        <f t="shared" si="8"/>
        <v>-0.475852517857338</v>
      </c>
      <c r="N13" s="27"/>
      <c r="O13" s="32"/>
      <c r="P13" s="27"/>
      <c r="Q13" s="32"/>
      <c r="R13" s="27"/>
      <c r="S13" s="32"/>
      <c r="T13" s="27">
        <v>4872604.82</v>
      </c>
      <c r="U13" s="32">
        <f t="shared" si="4"/>
        <v>0.0650718379599044</v>
      </c>
      <c r="V13" s="31">
        <f t="shared" si="1"/>
        <v>0.0125864927294216</v>
      </c>
    </row>
    <row r="14" ht="18" customHeight="1" spans="1:22">
      <c r="A14" s="26">
        <v>45674</v>
      </c>
      <c r="B14" s="27">
        <f t="shared" si="0"/>
        <v>15401.7959005968</v>
      </c>
      <c r="C14" s="32">
        <f t="shared" si="2"/>
        <v>-0.748866040377322</v>
      </c>
      <c r="D14" s="27">
        <v>7036.35320791324</v>
      </c>
      <c r="E14" s="32">
        <f t="shared" si="5"/>
        <v>-0.704286255848243</v>
      </c>
      <c r="F14" s="27">
        <v>6678.93807082899</v>
      </c>
      <c r="G14" s="32">
        <f t="shared" si="3"/>
        <v>-0.788014156855394</v>
      </c>
      <c r="H14" s="27">
        <v>942.633831427577</v>
      </c>
      <c r="I14" s="32">
        <f t="shared" si="6"/>
        <v>-0.73844268704365</v>
      </c>
      <c r="J14" s="27">
        <v>69.437758974409</v>
      </c>
      <c r="K14" s="32">
        <f t="shared" si="7"/>
        <v>-0.868082326206466</v>
      </c>
      <c r="L14" s="27">
        <v>674.43303145257</v>
      </c>
      <c r="M14" s="32">
        <f t="shared" si="8"/>
        <v>-0.644605275639834</v>
      </c>
      <c r="N14" s="27"/>
      <c r="O14" s="32"/>
      <c r="P14" s="27"/>
      <c r="Q14" s="32"/>
      <c r="R14" s="27"/>
      <c r="S14" s="32"/>
      <c r="T14" s="27">
        <v>1246084.8</v>
      </c>
      <c r="U14" s="32">
        <f t="shared" si="4"/>
        <v>-0.744267215168908</v>
      </c>
      <c r="V14" s="31">
        <f t="shared" si="1"/>
        <v>0.0123601506900628</v>
      </c>
    </row>
    <row r="15" ht="18" customHeight="1" spans="1:22">
      <c r="A15" s="26">
        <v>45705</v>
      </c>
      <c r="B15" s="27">
        <f t="shared" si="0"/>
        <v>19879.9549041871</v>
      </c>
      <c r="C15" s="32">
        <f t="shared" si="2"/>
        <v>0.290755638660083</v>
      </c>
      <c r="D15" s="27">
        <v>7008.57649746731</v>
      </c>
      <c r="E15" s="32">
        <f t="shared" si="5"/>
        <v>-0.00394760035847711</v>
      </c>
      <c r="F15" s="27">
        <v>9781.07743393338</v>
      </c>
      <c r="G15" s="32">
        <f t="shared" si="3"/>
        <v>0.46446595704388</v>
      </c>
      <c r="H15" s="27">
        <v>1113.89331755573</v>
      </c>
      <c r="I15" s="32">
        <f t="shared" si="6"/>
        <v>0.181681879451312</v>
      </c>
      <c r="J15" s="27">
        <v>337.191140042024</v>
      </c>
      <c r="K15" s="32">
        <f t="shared" si="7"/>
        <v>3.85601990937372</v>
      </c>
      <c r="L15" s="27">
        <v>1639.21651518861</v>
      </c>
      <c r="M15" s="32">
        <f t="shared" si="8"/>
        <v>1.43051042689609</v>
      </c>
      <c r="N15" s="27"/>
      <c r="O15" s="32"/>
      <c r="P15" s="27"/>
      <c r="Q15" s="32"/>
      <c r="R15" s="27"/>
      <c r="S15" s="32"/>
      <c r="T15" s="27">
        <v>1177858.53</v>
      </c>
      <c r="U15" s="32">
        <f t="shared" si="4"/>
        <v>-0.0547525096205331</v>
      </c>
      <c r="V15" s="31">
        <f t="shared" si="1"/>
        <v>0.016878049780891</v>
      </c>
    </row>
    <row r="16" ht="18" customHeight="1" spans="1:22">
      <c r="A16" s="26">
        <v>45717</v>
      </c>
      <c r="B16" s="27">
        <f t="shared" si="0"/>
        <v>30014.0017569491</v>
      </c>
      <c r="C16" s="32">
        <f t="shared" si="2"/>
        <v>0.509762064431425</v>
      </c>
      <c r="D16" s="27">
        <v>9763.61789952498</v>
      </c>
      <c r="E16" s="32">
        <f t="shared" si="5"/>
        <v>0.39309571680544</v>
      </c>
      <c r="F16" s="27">
        <v>13861.744934158</v>
      </c>
      <c r="G16" s="32">
        <f t="shared" si="3"/>
        <v>0.417200203943546</v>
      </c>
      <c r="H16" s="27">
        <v>2779.52958878412</v>
      </c>
      <c r="I16" s="32">
        <f t="shared" si="6"/>
        <v>1.49532836311773</v>
      </c>
      <c r="J16" s="27">
        <v>1551.82699956262</v>
      </c>
      <c r="K16" s="32">
        <f t="shared" si="7"/>
        <v>3.60221760088126</v>
      </c>
      <c r="L16" s="27">
        <v>2057.28233491936</v>
      </c>
      <c r="M16" s="32">
        <f t="shared" si="8"/>
        <v>0.255040024217086</v>
      </c>
      <c r="N16" s="27"/>
      <c r="O16" s="32"/>
      <c r="P16" s="27"/>
      <c r="Q16" s="32"/>
      <c r="R16" s="27"/>
      <c r="S16" s="32"/>
      <c r="T16" s="27">
        <v>2359410.09</v>
      </c>
      <c r="U16" s="32">
        <f t="shared" si="4"/>
        <v>1.00313537653796</v>
      </c>
      <c r="V16" s="31">
        <f t="shared" si="1"/>
        <v>0.0127209771137959</v>
      </c>
    </row>
    <row r="17" ht="18" customHeight="1" spans="1:22">
      <c r="A17" s="26">
        <v>45748</v>
      </c>
      <c r="B17" s="27">
        <f t="shared" si="0"/>
        <v>32119.19</v>
      </c>
      <c r="C17" s="32">
        <f t="shared" si="2"/>
        <v>0.0701402052314969</v>
      </c>
      <c r="D17" s="27">
        <v>9603</v>
      </c>
      <c r="E17" s="32">
        <f t="shared" si="5"/>
        <v>-0.0164506539663738</v>
      </c>
      <c r="F17" s="27">
        <v>15707.23</v>
      </c>
      <c r="G17" s="32">
        <f t="shared" si="3"/>
        <v>0.133135119323569</v>
      </c>
      <c r="H17" s="27">
        <v>1470.36</v>
      </c>
      <c r="I17" s="32">
        <f t="shared" si="6"/>
        <v>-0.471004012357647</v>
      </c>
      <c r="J17" s="27">
        <v>3060.12</v>
      </c>
      <c r="K17" s="32">
        <f t="shared" si="7"/>
        <v>0.971946615739055</v>
      </c>
      <c r="L17" s="27">
        <v>2278.48</v>
      </c>
      <c r="M17" s="32">
        <f t="shared" si="8"/>
        <v>0.107519352752966</v>
      </c>
      <c r="N17" s="27"/>
      <c r="O17" s="32"/>
      <c r="P17" s="27"/>
      <c r="Q17" s="32"/>
      <c r="R17" s="27"/>
      <c r="S17" s="32"/>
      <c r="T17" s="27">
        <v>2238234.71</v>
      </c>
      <c r="U17" s="32">
        <f t="shared" si="4"/>
        <v>-0.0513583376258257</v>
      </c>
      <c r="V17" s="31">
        <f t="shared" si="1"/>
        <v>0.0143502331799689</v>
      </c>
    </row>
    <row r="18" ht="18" customHeight="1" spans="1:22">
      <c r="A18" s="26">
        <v>45778</v>
      </c>
      <c r="B18" s="27">
        <f>D18+F18+H18+J18+L18+N18+P18+R18</f>
        <v>42394.6</v>
      </c>
      <c r="C18" s="32">
        <f t="shared" si="2"/>
        <v>0.319914979176</v>
      </c>
      <c r="D18" s="27">
        <v>10460.01</v>
      </c>
      <c r="E18" s="32">
        <f t="shared" si="5"/>
        <v>0.0892439862542956</v>
      </c>
      <c r="F18" s="27">
        <v>22307.46</v>
      </c>
      <c r="G18" s="32">
        <f t="shared" si="3"/>
        <v>0.420203307648771</v>
      </c>
      <c r="H18" s="27">
        <v>2726.52</v>
      </c>
      <c r="I18" s="32">
        <f t="shared" si="6"/>
        <v>0.854321390679834</v>
      </c>
      <c r="J18" s="27">
        <v>3201.07</v>
      </c>
      <c r="K18" s="32">
        <f t="shared" si="7"/>
        <v>0.0460602852175733</v>
      </c>
      <c r="L18" s="27">
        <v>3625.02</v>
      </c>
      <c r="M18" s="32">
        <f t="shared" si="8"/>
        <v>0.590981707102981</v>
      </c>
      <c r="N18" s="27">
        <v>52.41</v>
      </c>
      <c r="O18" s="32" t="e">
        <f>(N18-N17)/N17</f>
        <v>#DIV/0!</v>
      </c>
      <c r="P18" s="27">
        <v>0</v>
      </c>
      <c r="Q18" s="32" t="e">
        <f>(P18-P17)/P17</f>
        <v>#DIV/0!</v>
      </c>
      <c r="R18" s="27">
        <v>22.11</v>
      </c>
      <c r="S18" s="32" t="e">
        <f>(R18-R17)/R17</f>
        <v>#DIV/0!</v>
      </c>
      <c r="T18" s="27">
        <v>3062208.34</v>
      </c>
      <c r="U18" s="32">
        <f t="shared" si="4"/>
        <v>0.36813548924009</v>
      </c>
      <c r="V18" s="31">
        <f t="shared" si="1"/>
        <v>0.0138444531830907</v>
      </c>
    </row>
    <row r="19" ht="19.5" customHeight="1" spans="1:22">
      <c r="A19" s="26">
        <v>45809</v>
      </c>
      <c r="B19" s="27">
        <f>D19+F19+H19+J19+L19+N19+P19+R19</f>
        <v>45570.06</v>
      </c>
      <c r="C19" s="32">
        <f t="shared" si="2"/>
        <v>0.0749024639930559</v>
      </c>
      <c r="D19" s="27">
        <v>10755.83</v>
      </c>
      <c r="E19" s="32">
        <f t="shared" si="5"/>
        <v>0.0282810437083712</v>
      </c>
      <c r="F19" s="27">
        <v>23296.9</v>
      </c>
      <c r="G19" s="32">
        <f t="shared" si="3"/>
        <v>0.0443546687968959</v>
      </c>
      <c r="H19" s="27">
        <v>3972.98</v>
      </c>
      <c r="I19" s="32">
        <f t="shared" si="6"/>
        <v>0.457161509910069</v>
      </c>
      <c r="J19" s="27">
        <v>2658.7</v>
      </c>
      <c r="K19" s="32">
        <f t="shared" si="7"/>
        <v>-0.169433970516109</v>
      </c>
      <c r="L19" s="27">
        <v>4981.58</v>
      </c>
      <c r="M19" s="32">
        <f t="shared" si="8"/>
        <v>0.374221383606159</v>
      </c>
      <c r="N19" s="27">
        <v>-46.08</v>
      </c>
      <c r="O19" s="32">
        <f>(N19-N18)/N18</f>
        <v>-1.87922152261019</v>
      </c>
      <c r="P19" s="27">
        <v>0</v>
      </c>
      <c r="Q19" s="32" t="e">
        <f>(P19-P18)/P18</f>
        <v>#DIV/0!</v>
      </c>
      <c r="R19" s="27">
        <v>-49.85</v>
      </c>
      <c r="S19" s="32">
        <f>(R19-R18)/R18</f>
        <v>-3.25463591135233</v>
      </c>
      <c r="T19" s="27">
        <v>3766126.85</v>
      </c>
      <c r="U19" s="32">
        <f t="shared" si="4"/>
        <v>0.229872834191288</v>
      </c>
      <c r="V19" s="31">
        <f t="shared" si="1"/>
        <v>0.0120999801161769</v>
      </c>
    </row>
    <row r="20" ht="17.25" customHeight="1" spans="1:22">
      <c r="A20" s="26">
        <v>45839</v>
      </c>
      <c r="B20" s="27">
        <f>D20+F20+H20+J20+L20+N20+P20+R20</f>
        <v>42781.09</v>
      </c>
      <c r="C20" s="32">
        <f t="shared" si="2"/>
        <v>-0.0612018066247885</v>
      </c>
      <c r="D20" s="27">
        <v>13890.65</v>
      </c>
      <c r="E20" s="32">
        <f t="shared" si="5"/>
        <v>0.291453100318618</v>
      </c>
      <c r="F20" s="27">
        <v>19636.93</v>
      </c>
      <c r="G20" s="32">
        <f t="shared" si="3"/>
        <v>-0.15710115938172</v>
      </c>
      <c r="H20" s="27">
        <v>3253.61</v>
      </c>
      <c r="I20" s="32">
        <f t="shared" si="6"/>
        <v>-0.181065598115269</v>
      </c>
      <c r="J20" s="27">
        <v>2479.03</v>
      </c>
      <c r="K20" s="32">
        <f t="shared" si="7"/>
        <v>-0.0675781396923307</v>
      </c>
      <c r="L20" s="27">
        <v>3684.32</v>
      </c>
      <c r="M20" s="32">
        <f t="shared" si="8"/>
        <v>-0.260411355433417</v>
      </c>
      <c r="N20" s="27">
        <v>113.67</v>
      </c>
      <c r="O20" s="32">
        <f>(N20-N19)/N19</f>
        <v>-3.466796875</v>
      </c>
      <c r="P20" s="27">
        <v>-205.75</v>
      </c>
      <c r="Q20" s="32" t="e">
        <f>(P20-P19)/P19</f>
        <v>#DIV/0!</v>
      </c>
      <c r="R20" s="27">
        <v>-71.37</v>
      </c>
      <c r="S20" s="32">
        <f>(R20-R19)/R19</f>
        <v>0.431695085255767</v>
      </c>
      <c r="T20" s="27">
        <v>3210277.71</v>
      </c>
      <c r="U20" s="32">
        <f t="shared" si="4"/>
        <v>-0.147591720124881</v>
      </c>
      <c r="V20" s="31">
        <f t="shared" si="1"/>
        <v>0.0133262894567461</v>
      </c>
    </row>
    <row r="21" ht="18" customHeight="1" spans="1:22">
      <c r="A21" s="26">
        <v>45870</v>
      </c>
      <c r="B21" s="27">
        <f>D21+F21+H21+J21+L21+N21+P21+R21</f>
        <v>28447.11</v>
      </c>
      <c r="C21" s="32">
        <f t="shared" si="2"/>
        <v>-0.335054109187026</v>
      </c>
      <c r="D21" s="27">
        <v>4677.43</v>
      </c>
      <c r="E21" s="32">
        <f t="shared" si="5"/>
        <v>-0.663267737650866</v>
      </c>
      <c r="F21" s="27">
        <v>16874.16</v>
      </c>
      <c r="G21" s="32">
        <f t="shared" si="3"/>
        <v>-0.140692562432111</v>
      </c>
      <c r="H21" s="27">
        <v>1840.67</v>
      </c>
      <c r="I21" s="32">
        <f t="shared" si="6"/>
        <v>-0.4342683972572</v>
      </c>
      <c r="J21" s="27">
        <v>2465.94</v>
      </c>
      <c r="K21" s="32">
        <f t="shared" si="7"/>
        <v>-0.00528029108159246</v>
      </c>
      <c r="L21" s="27">
        <v>3538.84</v>
      </c>
      <c r="M21" s="32">
        <f t="shared" si="8"/>
        <v>-0.0394862552655578</v>
      </c>
      <c r="N21" s="27">
        <v>7.73</v>
      </c>
      <c r="O21" s="32">
        <f>(N21-N20)/N20</f>
        <v>-0.931996129145773</v>
      </c>
      <c r="P21" s="27">
        <v>-957.66</v>
      </c>
      <c r="Q21" s="32">
        <f>(P21-P20)/P20</f>
        <v>3.65448359659781</v>
      </c>
      <c r="R21" s="27">
        <v>0</v>
      </c>
      <c r="S21" s="32">
        <f>(R21-R20)/R20</f>
        <v>-1</v>
      </c>
      <c r="T21" s="27">
        <v>2487724.15</v>
      </c>
      <c r="U21" s="32">
        <f t="shared" si="4"/>
        <v>-0.225075094827232</v>
      </c>
      <c r="V21" s="31">
        <f t="shared" si="1"/>
        <v>0.0114349937069992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60"/>
  <sheetViews>
    <sheetView tabSelected="1" workbookViewId="0">
      <pane ySplit="1" topLeftCell="A31" activePane="bottomLeft" state="frozen"/>
      <selection/>
      <selection pane="bottomLeft" activeCell="E65" sqref="E65"/>
    </sheetView>
  </sheetViews>
  <sheetFormatPr defaultColWidth="10" defaultRowHeight="16.5" customHeight="1"/>
  <cols>
    <col min="1" max="1" width="15.875" customWidth="1"/>
    <col min="2" max="2" width="18.5" customWidth="1"/>
    <col min="3" max="4" width="17.5" customWidth="1"/>
    <col min="5" max="5" width="13.5" customWidth="1"/>
    <col min="6" max="6" width="13.375" customWidth="1"/>
    <col min="7" max="7" width="15.375" customWidth="1"/>
    <col min="8" max="8" width="12.875" customWidth="1"/>
    <col min="9" max="9" width="16.875" customWidth="1"/>
    <col min="10" max="10" width="14" customWidth="1"/>
    <col min="11" max="11" width="12.375" customWidth="1"/>
  </cols>
  <sheetData>
    <row r="1" ht="35.25" customHeight="1" spans="1:11">
      <c r="A1" s="24" t="s">
        <v>42</v>
      </c>
      <c r="B1" s="25" t="s">
        <v>43</v>
      </c>
      <c r="C1" s="25" t="s">
        <v>45</v>
      </c>
      <c r="D1" s="25" t="s">
        <v>46</v>
      </c>
      <c r="E1" s="25" t="s">
        <v>47</v>
      </c>
      <c r="F1" s="25" t="s">
        <v>48</v>
      </c>
      <c r="G1" s="25" t="s">
        <v>49</v>
      </c>
      <c r="H1" s="25" t="s">
        <v>50</v>
      </c>
      <c r="I1" s="25" t="s">
        <v>51</v>
      </c>
      <c r="J1" s="25" t="s">
        <v>52</v>
      </c>
      <c r="K1" s="25" t="s">
        <v>55</v>
      </c>
    </row>
    <row r="2" ht="18" customHeight="1" spans="1:11">
      <c r="A2" s="26">
        <v>45674</v>
      </c>
      <c r="B2" s="27">
        <v>10983.5440038891</v>
      </c>
      <c r="C2" s="6">
        <v>5147.04996623628</v>
      </c>
      <c r="D2" s="6">
        <v>5141.0042364809</v>
      </c>
      <c r="E2" s="27">
        <v>694.506466708317</v>
      </c>
      <c r="F2" s="27">
        <v>-146.996985137467</v>
      </c>
      <c r="G2" s="27">
        <v>147.980319601029</v>
      </c>
      <c r="H2" s="27"/>
      <c r="I2" s="27"/>
      <c r="J2" s="27"/>
      <c r="K2" s="27"/>
    </row>
    <row r="3" ht="18" customHeight="1" spans="1:11">
      <c r="A3" s="26">
        <v>45705</v>
      </c>
      <c r="B3" s="27">
        <v>15026.1793109402</v>
      </c>
      <c r="C3" s="6">
        <v>5158.37071315794</v>
      </c>
      <c r="D3" s="6">
        <v>8182.72409545623</v>
      </c>
      <c r="E3" s="27">
        <v>812.272226413676</v>
      </c>
      <c r="F3" s="27">
        <v>117.108814279692</v>
      </c>
      <c r="G3" s="27">
        <v>755.703461632625</v>
      </c>
      <c r="H3" s="27"/>
      <c r="I3" s="27"/>
      <c r="J3" s="27"/>
      <c r="K3" s="27"/>
    </row>
    <row r="4" ht="18" customHeight="1" spans="1:11">
      <c r="A4" s="26">
        <v>45717</v>
      </c>
      <c r="B4" s="27">
        <v>22366.3951980611</v>
      </c>
      <c r="C4" s="6">
        <v>6536.35614392431</v>
      </c>
      <c r="D4" s="6">
        <v>11484.6397641613</v>
      </c>
      <c r="E4" s="27">
        <v>2135.86670871221</v>
      </c>
      <c r="F4" s="27">
        <v>1131.53095036287</v>
      </c>
      <c r="G4" s="27">
        <v>1078.00163090044</v>
      </c>
      <c r="H4" s="27"/>
      <c r="I4" s="27"/>
      <c r="J4" s="27"/>
      <c r="K4" s="27"/>
    </row>
    <row r="5" ht="18" customHeight="1" spans="1:11">
      <c r="A5" s="26">
        <v>45748</v>
      </c>
      <c r="B5" s="27">
        <v>25413.7808400707</v>
      </c>
      <c r="C5" s="6">
        <v>6694.59815604514</v>
      </c>
      <c r="D5" s="6">
        <v>13835.7692864181</v>
      </c>
      <c r="E5" s="27">
        <v>981.416998762154</v>
      </c>
      <c r="F5" s="27">
        <v>2675.92949222344</v>
      </c>
      <c r="G5" s="27">
        <v>1226.06690662184</v>
      </c>
      <c r="H5" s="27"/>
      <c r="I5" s="27"/>
      <c r="J5" s="27"/>
      <c r="K5" s="27"/>
    </row>
    <row r="6" ht="18" customHeight="1" spans="1:11">
      <c r="A6" s="26">
        <v>45778</v>
      </c>
      <c r="B6" s="27">
        <v>32873.7864220803</v>
      </c>
      <c r="C6" s="6">
        <v>6896.25579047879</v>
      </c>
      <c r="D6" s="6">
        <v>19296.5312763173</v>
      </c>
      <c r="E6" s="27">
        <v>2217.87838209063</v>
      </c>
      <c r="F6" s="27">
        <v>2795.11066261231</v>
      </c>
      <c r="G6" s="27">
        <v>1606.42228877625</v>
      </c>
      <c r="H6" s="27">
        <v>44.3008108332797</v>
      </c>
      <c r="I6" s="27"/>
      <c r="J6" s="27">
        <v>17.2872109716952</v>
      </c>
      <c r="K6" s="27"/>
    </row>
    <row r="7" ht="18" customHeight="1" spans="1:11">
      <c r="A7" s="26">
        <v>45809</v>
      </c>
      <c r="B7" s="27">
        <v>36012.5023215076</v>
      </c>
      <c r="C7" s="6">
        <v>7577.18632513597</v>
      </c>
      <c r="D7" s="6">
        <v>20400.222704353</v>
      </c>
      <c r="E7" s="27">
        <v>3292.11527479275</v>
      </c>
      <c r="F7" s="27">
        <v>2198.53720401821</v>
      </c>
      <c r="G7" s="27">
        <v>2652.40658944672</v>
      </c>
      <c r="H7" s="27">
        <v>-55.266411356202</v>
      </c>
      <c r="I7" s="27"/>
      <c r="J7" s="27">
        <v>-52.6993648828796</v>
      </c>
      <c r="K7" s="27"/>
    </row>
    <row r="8" ht="18" customHeight="1" spans="1:11">
      <c r="A8" s="26">
        <v>45839</v>
      </c>
      <c r="B8" s="27">
        <v>33375.1579613197</v>
      </c>
      <c r="C8" s="6">
        <v>10044.8541408989</v>
      </c>
      <c r="D8" s="6">
        <v>16971.5333617079</v>
      </c>
      <c r="E8" s="27">
        <v>2433.41565915501</v>
      </c>
      <c r="F8" s="27">
        <v>2065.82306232542</v>
      </c>
      <c r="G8" s="27">
        <v>2148.60901008629</v>
      </c>
      <c r="H8" s="27">
        <v>65.709392317939</v>
      </c>
      <c r="I8" s="27">
        <v>-229.628509779935</v>
      </c>
      <c r="J8" s="27">
        <v>-125.158155391809</v>
      </c>
      <c r="K8" s="27"/>
    </row>
    <row r="9" ht="18" customHeight="1" spans="1:11">
      <c r="A9" s="26">
        <v>45870</v>
      </c>
      <c r="B9" s="27">
        <v>19186.6121393825</v>
      </c>
      <c r="C9" s="6">
        <v>1048.52546133809</v>
      </c>
      <c r="D9" s="6">
        <v>14387.9324805946</v>
      </c>
      <c r="E9" s="27">
        <v>988.710155970849</v>
      </c>
      <c r="F9" s="27">
        <v>1931.47338929136</v>
      </c>
      <c r="G9" s="27">
        <v>2063.35893187023</v>
      </c>
      <c r="H9" s="27">
        <v>-111.291373618276</v>
      </c>
      <c r="I9" s="27">
        <v>-1122.09690606432</v>
      </c>
      <c r="J9" s="27">
        <v>0</v>
      </c>
      <c r="K9" s="27"/>
    </row>
    <row r="10" ht="18" customHeight="1" spans="1:11">
      <c r="A10" s="26">
        <v>45901</v>
      </c>
      <c r="B10" s="27">
        <v>18998.22</v>
      </c>
      <c r="C10" s="6">
        <v>2213.59</v>
      </c>
      <c r="D10" s="6">
        <v>9784.89</v>
      </c>
      <c r="E10" s="27">
        <v>1081.79</v>
      </c>
      <c r="F10" s="27">
        <v>2581.48</v>
      </c>
      <c r="G10" s="27">
        <v>2330.92</v>
      </c>
      <c r="H10" s="27">
        <v>126.55</v>
      </c>
      <c r="I10" s="27">
        <v>626</v>
      </c>
      <c r="J10" s="27">
        <v>253</v>
      </c>
      <c r="K10" s="27"/>
    </row>
    <row r="11" ht="18" customHeight="1" spans="1:11">
      <c r="A11" s="26">
        <v>45931</v>
      </c>
      <c r="B11" s="27">
        <v>22351.25</v>
      </c>
      <c r="C11" s="6">
        <v>1948.34</v>
      </c>
      <c r="D11" s="6">
        <v>9613.65</v>
      </c>
      <c r="E11" s="27">
        <v>894.11</v>
      </c>
      <c r="F11" s="27">
        <v>2563.32</v>
      </c>
      <c r="G11" s="27">
        <v>2843.48</v>
      </c>
      <c r="H11" s="27">
        <v>24.36</v>
      </c>
      <c r="I11" s="27">
        <v>3015.45</v>
      </c>
      <c r="J11" s="27">
        <v>1448.54</v>
      </c>
      <c r="K11" s="27"/>
    </row>
    <row r="12" ht="18" customHeight="1" spans="1:11">
      <c r="A12" s="26">
        <v>45962</v>
      </c>
      <c r="B12" s="27">
        <v>71585.6</v>
      </c>
      <c r="C12" s="6">
        <v>10948.79</v>
      </c>
      <c r="D12" s="6">
        <v>35873.52</v>
      </c>
      <c r="E12" s="27">
        <v>2360.36</v>
      </c>
      <c r="F12" s="27">
        <v>6114.53</v>
      </c>
      <c r="G12" s="27">
        <v>7223.33</v>
      </c>
      <c r="H12" s="27">
        <v>761.43</v>
      </c>
      <c r="I12" s="27">
        <v>5122.79</v>
      </c>
      <c r="J12" s="27">
        <v>3180.85</v>
      </c>
      <c r="K12" s="27"/>
    </row>
    <row r="13" ht="18" customHeight="1" spans="1:11">
      <c r="A13" s="26">
        <v>45992</v>
      </c>
      <c r="B13" s="27">
        <v>93722.91</v>
      </c>
      <c r="C13" s="6">
        <v>18345.08</v>
      </c>
      <c r="D13" s="6">
        <v>45198.08</v>
      </c>
      <c r="E13" s="27">
        <v>4916.65</v>
      </c>
      <c r="F13" s="27">
        <v>9798.18</v>
      </c>
      <c r="G13" s="27">
        <v>7469.42</v>
      </c>
      <c r="H13" s="27">
        <v>404.83</v>
      </c>
      <c r="I13" s="27">
        <v>5209.21</v>
      </c>
      <c r="J13" s="27">
        <v>2381.46</v>
      </c>
      <c r="K13" s="27"/>
    </row>
    <row r="14" ht="18" customHeight="1" spans="1:11">
      <c r="A14" s="26">
        <v>46023</v>
      </c>
      <c r="B14" s="27">
        <v>21409.18</v>
      </c>
      <c r="C14" s="6">
        <v>4644.6</v>
      </c>
      <c r="D14" s="6">
        <v>7719.07</v>
      </c>
      <c r="E14" s="27">
        <v>771.7</v>
      </c>
      <c r="F14" s="27">
        <v>2555.92</v>
      </c>
      <c r="G14" s="27">
        <v>3398.79</v>
      </c>
      <c r="H14" s="27">
        <v>108.53</v>
      </c>
      <c r="I14" s="27">
        <v>1584.48</v>
      </c>
      <c r="J14" s="27">
        <v>626.09</v>
      </c>
      <c r="K14" s="27"/>
    </row>
    <row r="15" ht="18" customHeight="1" spans="1:11">
      <c r="A15" s="26">
        <v>46054</v>
      </c>
      <c r="B15" s="27">
        <v>16847.74</v>
      </c>
      <c r="C15" s="6">
        <v>4395.84</v>
      </c>
      <c r="D15" s="6">
        <v>5247.22</v>
      </c>
      <c r="E15" s="27">
        <v>766.7</v>
      </c>
      <c r="F15" s="27">
        <v>3263.38</v>
      </c>
      <c r="G15" s="27">
        <v>1766.23</v>
      </c>
      <c r="H15" s="27">
        <v>-42.96</v>
      </c>
      <c r="I15" s="27">
        <v>1169.57</v>
      </c>
      <c r="J15" s="27">
        <v>281.76</v>
      </c>
      <c r="K15" s="27"/>
    </row>
    <row r="16" ht="18" customHeight="1" spans="1:11">
      <c r="A16" s="26">
        <v>46082</v>
      </c>
      <c r="B16" s="27">
        <v>19264.63</v>
      </c>
      <c r="C16" s="6">
        <v>5747.01</v>
      </c>
      <c r="D16" s="6">
        <v>7495.21</v>
      </c>
      <c r="E16" s="27">
        <v>981.99</v>
      </c>
      <c r="F16" s="27">
        <v>2202.39</v>
      </c>
      <c r="G16" s="27">
        <v>1767.62</v>
      </c>
      <c r="H16" s="27">
        <v>167.83</v>
      </c>
      <c r="I16" s="27">
        <v>-17</v>
      </c>
      <c r="J16" s="27">
        <v>919.58</v>
      </c>
      <c r="K16" s="27"/>
    </row>
    <row r="17" ht="18" customHeight="1" spans="1:11">
      <c r="A17" s="26">
        <v>46113</v>
      </c>
      <c r="B17" s="27">
        <v>18886.93</v>
      </c>
      <c r="C17" s="6">
        <v>5246.13</v>
      </c>
      <c r="D17" s="6">
        <v>4545.81</v>
      </c>
      <c r="E17" s="27">
        <v>1330.93</v>
      </c>
      <c r="F17" s="27">
        <v>2812.56</v>
      </c>
      <c r="G17" s="27">
        <v>2820.92</v>
      </c>
      <c r="H17" s="27">
        <v>196.53</v>
      </c>
      <c r="I17" s="27">
        <v>1157.81</v>
      </c>
      <c r="J17" s="27">
        <v>776.24</v>
      </c>
      <c r="K17" s="27"/>
    </row>
    <row r="18" ht="18" customHeight="1" spans="1:11">
      <c r="A18" s="26">
        <v>46143</v>
      </c>
      <c r="B18" s="27">
        <v>23973.65</v>
      </c>
      <c r="C18" s="6">
        <v>4763.92</v>
      </c>
      <c r="D18" s="6">
        <v>6738.29</v>
      </c>
      <c r="E18" s="27">
        <v>1355.81</v>
      </c>
      <c r="F18" s="27">
        <v>3004.47</v>
      </c>
      <c r="G18" s="27">
        <v>4184.53</v>
      </c>
      <c r="H18" s="27">
        <v>497.22</v>
      </c>
      <c r="I18" s="27">
        <v>2707.06</v>
      </c>
      <c r="J18" s="27">
        <v>722.35</v>
      </c>
      <c r="K18" s="27"/>
    </row>
    <row r="19" ht="18" customHeight="1" spans="1:11">
      <c r="A19" s="26">
        <v>46174</v>
      </c>
      <c r="B19" s="27">
        <v>23638.93</v>
      </c>
      <c r="C19" s="6">
        <v>3640.98</v>
      </c>
      <c r="D19" s="6">
        <v>7984.09</v>
      </c>
      <c r="E19" s="27">
        <v>978.79</v>
      </c>
      <c r="F19" s="27">
        <v>2468.97</v>
      </c>
      <c r="G19" s="27">
        <v>5181.26</v>
      </c>
      <c r="H19" s="27">
        <v>1195.9</v>
      </c>
      <c r="I19" s="27">
        <v>1630.63</v>
      </c>
      <c r="J19" s="27">
        <v>522.85</v>
      </c>
      <c r="K19" s="27">
        <v>35.46</v>
      </c>
    </row>
    <row r="22" ht="37" customHeight="1" spans="1:11">
      <c r="A22" s="24" t="s">
        <v>56</v>
      </c>
      <c r="B22" s="25" t="s">
        <v>43</v>
      </c>
      <c r="C22" s="25" t="s">
        <v>45</v>
      </c>
      <c r="D22" s="25" t="s">
        <v>46</v>
      </c>
      <c r="E22" s="25" t="s">
        <v>47</v>
      </c>
      <c r="F22" s="25" t="s">
        <v>48</v>
      </c>
      <c r="G22" s="25" t="s">
        <v>49</v>
      </c>
      <c r="H22" s="25" t="s">
        <v>50</v>
      </c>
      <c r="I22" s="25" t="s">
        <v>51</v>
      </c>
      <c r="J22" s="25" t="s">
        <v>52</v>
      </c>
      <c r="K22" s="25" t="s">
        <v>55</v>
      </c>
    </row>
    <row r="23" customHeight="1" spans="1:11">
      <c r="A23" s="26">
        <v>45674</v>
      </c>
      <c r="B23" s="27">
        <v>24017.53</v>
      </c>
      <c r="C23" s="28">
        <v>9166.45</v>
      </c>
      <c r="D23" s="28">
        <v>10895.44</v>
      </c>
      <c r="E23" s="28">
        <v>1836.11</v>
      </c>
      <c r="F23" s="28">
        <v>932.04</v>
      </c>
      <c r="G23" s="28">
        <v>1187.49</v>
      </c>
      <c r="H23" s="27"/>
      <c r="I23" s="27"/>
      <c r="J23" s="27"/>
      <c r="K23" s="27"/>
    </row>
    <row r="24" customHeight="1" spans="1:11">
      <c r="A24" s="26">
        <v>45705</v>
      </c>
      <c r="B24" s="27">
        <v>28516.37</v>
      </c>
      <c r="C24" s="28">
        <v>8830.38</v>
      </c>
      <c r="D24" s="28">
        <v>14548.34</v>
      </c>
      <c r="E24" s="28">
        <v>1924.5</v>
      </c>
      <c r="F24" s="28">
        <v>999.65</v>
      </c>
      <c r="G24" s="28">
        <v>2213.5</v>
      </c>
      <c r="H24" s="27"/>
      <c r="I24" s="27"/>
      <c r="J24" s="27"/>
      <c r="K24" s="27"/>
    </row>
    <row r="25" customHeight="1" spans="1:11">
      <c r="A25" s="26">
        <v>45717</v>
      </c>
      <c r="B25" s="27">
        <v>47892.05</v>
      </c>
      <c r="C25" s="28">
        <v>14305.69</v>
      </c>
      <c r="D25" s="28">
        <v>22171.95</v>
      </c>
      <c r="E25" s="28">
        <v>4887.21</v>
      </c>
      <c r="F25" s="28">
        <v>3428.55</v>
      </c>
      <c r="G25" s="28">
        <v>3098.65</v>
      </c>
      <c r="H25" s="27"/>
      <c r="I25" s="27"/>
      <c r="J25" s="27"/>
      <c r="K25" s="27"/>
    </row>
    <row r="26" customHeight="1" spans="1:11">
      <c r="A26" s="26">
        <v>45748</v>
      </c>
      <c r="B26" s="27">
        <v>50218.49</v>
      </c>
      <c r="C26" s="28">
        <v>14003.86</v>
      </c>
      <c r="D26" s="28">
        <v>24591.01</v>
      </c>
      <c r="E26" s="28">
        <v>3086</v>
      </c>
      <c r="F26" s="28">
        <v>5081.15</v>
      </c>
      <c r="G26" s="28">
        <v>3456.47</v>
      </c>
      <c r="H26" s="27"/>
      <c r="I26" s="27"/>
      <c r="J26" s="27"/>
      <c r="K26" s="27"/>
    </row>
    <row r="27" customHeight="1" spans="1:11">
      <c r="A27" s="26">
        <v>45778</v>
      </c>
      <c r="B27" s="27">
        <v>68207.02</v>
      </c>
      <c r="C27" s="28">
        <v>14448.03</v>
      </c>
      <c r="D27" s="28">
        <v>35259.25</v>
      </c>
      <c r="E27" s="28">
        <v>6077.57</v>
      </c>
      <c r="F27" s="28">
        <v>6640.88</v>
      </c>
      <c r="G27" s="28">
        <v>5552.16</v>
      </c>
      <c r="H27" s="28">
        <v>170.06</v>
      </c>
      <c r="I27" s="28">
        <v>0</v>
      </c>
      <c r="J27" s="28">
        <v>59.07</v>
      </c>
      <c r="K27" s="27"/>
    </row>
    <row r="28" customHeight="1" spans="1:11">
      <c r="A28" s="26">
        <v>45809</v>
      </c>
      <c r="B28" s="27">
        <v>75582.56</v>
      </c>
      <c r="C28" s="28">
        <v>17081.33</v>
      </c>
      <c r="D28" s="28">
        <v>38510.33</v>
      </c>
      <c r="E28" s="28">
        <v>7366.78</v>
      </c>
      <c r="F28" s="28">
        <v>5460.74</v>
      </c>
      <c r="G28" s="28">
        <v>7107.47</v>
      </c>
      <c r="H28" s="28">
        <v>40.24</v>
      </c>
      <c r="I28" s="28">
        <v>0</v>
      </c>
      <c r="J28" s="28">
        <v>15.67</v>
      </c>
      <c r="K28" s="27"/>
    </row>
    <row r="29" customHeight="1" spans="1:11">
      <c r="A29" s="26">
        <v>45839</v>
      </c>
      <c r="B29" s="27">
        <v>67702.25</v>
      </c>
      <c r="C29" s="28">
        <v>19445.68</v>
      </c>
      <c r="D29" s="28">
        <v>32407.64</v>
      </c>
      <c r="E29" s="28">
        <v>5968.3</v>
      </c>
      <c r="F29" s="28">
        <v>4399.61</v>
      </c>
      <c r="G29" s="28">
        <v>5036.13</v>
      </c>
      <c r="H29" s="28">
        <v>254.55</v>
      </c>
      <c r="I29" s="28">
        <v>29.44</v>
      </c>
      <c r="J29" s="28">
        <v>160.9</v>
      </c>
      <c r="K29" s="27"/>
    </row>
    <row r="30" customHeight="1" spans="1:11">
      <c r="A30" s="26">
        <v>45870</v>
      </c>
      <c r="B30" s="27">
        <v>46484.42</v>
      </c>
      <c r="C30" s="28">
        <v>8146.23</v>
      </c>
      <c r="D30" s="28">
        <v>25947.83</v>
      </c>
      <c r="E30" s="28">
        <v>3056.79</v>
      </c>
      <c r="F30" s="28">
        <v>4592.84</v>
      </c>
      <c r="G30" s="28">
        <v>4566.57</v>
      </c>
      <c r="H30" s="28">
        <v>94.59</v>
      </c>
      <c r="I30" s="28">
        <v>79.57</v>
      </c>
      <c r="J30" s="28">
        <v>0</v>
      </c>
      <c r="K30" s="27"/>
    </row>
    <row r="31" customHeight="1" spans="1:11">
      <c r="A31" s="26">
        <v>45901</v>
      </c>
      <c r="B31" s="27">
        <v>41921.61</v>
      </c>
      <c r="C31" s="28">
        <v>6703.94</v>
      </c>
      <c r="D31" s="28">
        <v>17675.21</v>
      </c>
      <c r="E31" s="28">
        <v>2739.73</v>
      </c>
      <c r="F31" s="28">
        <v>6491.87</v>
      </c>
      <c r="G31" s="28">
        <v>4611.64</v>
      </c>
      <c r="H31" s="28">
        <v>436.46</v>
      </c>
      <c r="I31" s="28">
        <v>2758.85</v>
      </c>
      <c r="J31" s="28">
        <v>503.91</v>
      </c>
      <c r="K31" s="27"/>
    </row>
    <row r="32" customHeight="1" spans="1:11">
      <c r="A32" s="26">
        <v>45931</v>
      </c>
      <c r="B32" s="27">
        <v>54189.06</v>
      </c>
      <c r="C32" s="28">
        <v>9290.76</v>
      </c>
      <c r="D32" s="28">
        <v>20929.69</v>
      </c>
      <c r="E32" s="28">
        <v>2420.08</v>
      </c>
      <c r="F32" s="28">
        <v>5693.65</v>
      </c>
      <c r="G32" s="28">
        <v>6323.23</v>
      </c>
      <c r="H32" s="28">
        <v>273.78</v>
      </c>
      <c r="I32" s="28">
        <v>7276.3</v>
      </c>
      <c r="J32" s="28">
        <v>1981.57</v>
      </c>
      <c r="K32" s="27"/>
    </row>
    <row r="33" customHeight="1" spans="1:11">
      <c r="A33" s="26">
        <v>45962</v>
      </c>
      <c r="B33" s="27">
        <v>152178.51</v>
      </c>
      <c r="C33" s="28">
        <v>23951.18</v>
      </c>
      <c r="D33" s="28">
        <v>69476.16</v>
      </c>
      <c r="E33" s="28">
        <v>6492.83</v>
      </c>
      <c r="F33" s="28">
        <v>16965</v>
      </c>
      <c r="G33" s="28">
        <v>12804.37</v>
      </c>
      <c r="H33" s="28">
        <v>1548.63</v>
      </c>
      <c r="I33" s="28">
        <v>16756.16</v>
      </c>
      <c r="J33" s="28">
        <v>4184.18</v>
      </c>
      <c r="K33" s="27"/>
    </row>
    <row r="34" customHeight="1" spans="1:11">
      <c r="A34" s="26">
        <v>45992</v>
      </c>
      <c r="B34" s="27">
        <v>172344.64</v>
      </c>
      <c r="C34" s="28">
        <v>28603.41</v>
      </c>
      <c r="D34" s="28">
        <v>75503.36</v>
      </c>
      <c r="E34" s="28">
        <v>13135.07</v>
      </c>
      <c r="F34" s="28">
        <v>20799.18</v>
      </c>
      <c r="G34" s="28">
        <v>12257.58</v>
      </c>
      <c r="H34" s="28">
        <v>633.78</v>
      </c>
      <c r="I34" s="28">
        <v>18205.06</v>
      </c>
      <c r="J34" s="28">
        <v>3207.2</v>
      </c>
      <c r="K34" s="27"/>
    </row>
    <row r="35" customHeight="1" spans="1:11">
      <c r="A35" s="26">
        <v>46023</v>
      </c>
      <c r="B35" s="27">
        <v>39555.8</v>
      </c>
      <c r="C35" s="28">
        <v>7983.62</v>
      </c>
      <c r="D35" s="28">
        <v>12974.64</v>
      </c>
      <c r="E35" s="28">
        <v>2175.79</v>
      </c>
      <c r="F35" s="28">
        <v>4268.54</v>
      </c>
      <c r="G35" s="28">
        <v>5223.29</v>
      </c>
      <c r="H35" s="28">
        <v>173.67</v>
      </c>
      <c r="I35" s="28">
        <v>5958.79</v>
      </c>
      <c r="J35" s="28">
        <v>797.46</v>
      </c>
      <c r="K35" s="27"/>
    </row>
    <row r="36" customHeight="1" spans="1:11">
      <c r="A36" s="26">
        <v>46054</v>
      </c>
      <c r="B36" s="27">
        <v>35165.99</v>
      </c>
      <c r="C36" s="28">
        <v>7567.74</v>
      </c>
      <c r="D36" s="28">
        <v>10142.41</v>
      </c>
      <c r="E36" s="28">
        <v>2159.5</v>
      </c>
      <c r="F36" s="28">
        <v>5153.79</v>
      </c>
      <c r="G36" s="28">
        <v>3590.36</v>
      </c>
      <c r="H36" s="28">
        <v>105.97</v>
      </c>
      <c r="I36" s="28">
        <v>5995.85</v>
      </c>
      <c r="J36" s="28">
        <v>450.37</v>
      </c>
      <c r="K36" s="27"/>
    </row>
    <row r="37" customHeight="1" spans="1:11">
      <c r="A37" s="26">
        <v>46082</v>
      </c>
      <c r="B37" s="27">
        <v>40369.36</v>
      </c>
      <c r="C37" s="28">
        <v>9794.04</v>
      </c>
      <c r="D37" s="28">
        <v>14761.01</v>
      </c>
      <c r="E37" s="28">
        <v>2725.8</v>
      </c>
      <c r="F37" s="28">
        <v>3773.06</v>
      </c>
      <c r="G37" s="28">
        <v>4048.97</v>
      </c>
      <c r="H37" s="28">
        <v>604.38</v>
      </c>
      <c r="I37" s="28">
        <v>3626.83</v>
      </c>
      <c r="J37" s="28">
        <v>1035.27</v>
      </c>
      <c r="K37" s="27"/>
    </row>
    <row r="38" customHeight="1" spans="1:11">
      <c r="A38" s="26">
        <v>46113</v>
      </c>
      <c r="B38" s="27">
        <v>32456.39</v>
      </c>
      <c r="C38" s="28">
        <v>7880.63</v>
      </c>
      <c r="D38" s="28">
        <v>7407.85</v>
      </c>
      <c r="E38" s="28">
        <v>2855.67</v>
      </c>
      <c r="F38" s="28">
        <v>4126.69</v>
      </c>
      <c r="G38" s="28">
        <v>4162.14</v>
      </c>
      <c r="H38" s="28">
        <v>356.89</v>
      </c>
      <c r="I38" s="28">
        <v>4809.63</v>
      </c>
      <c r="J38" s="28">
        <v>856.89</v>
      </c>
      <c r="K38" s="27"/>
    </row>
    <row r="39" customHeight="1" spans="1:11">
      <c r="A39" s="26">
        <v>46143</v>
      </c>
      <c r="B39" s="27">
        <v>39584.03</v>
      </c>
      <c r="C39" s="28">
        <v>7526.73</v>
      </c>
      <c r="D39" s="28">
        <v>11026.3</v>
      </c>
      <c r="E39" s="28">
        <v>2931.77</v>
      </c>
      <c r="F39" s="28">
        <v>4122.47</v>
      </c>
      <c r="G39" s="28">
        <v>6032.03</v>
      </c>
      <c r="H39" s="28">
        <v>960.75</v>
      </c>
      <c r="I39" s="28">
        <v>6163.07</v>
      </c>
      <c r="J39" s="28">
        <v>820.91</v>
      </c>
      <c r="K39" s="27"/>
    </row>
    <row r="40" customHeight="1" spans="1:11">
      <c r="A40" s="26">
        <v>46174</v>
      </c>
      <c r="B40" s="27">
        <v>36505.43</v>
      </c>
      <c r="C40" s="28">
        <v>7016.97</v>
      </c>
      <c r="D40" s="28">
        <v>11156.05</v>
      </c>
      <c r="E40" s="28">
        <v>1930.45</v>
      </c>
      <c r="F40" s="28">
        <v>3184.37</v>
      </c>
      <c r="G40" s="28">
        <v>6877.09</v>
      </c>
      <c r="H40" s="28">
        <v>1676.39</v>
      </c>
      <c r="I40" s="28">
        <v>3902.04</v>
      </c>
      <c r="J40" s="28">
        <v>614.67</v>
      </c>
      <c r="K40" s="28">
        <v>147.4</v>
      </c>
    </row>
    <row r="42" customHeight="1" spans="1:11">
      <c r="A42" s="24" t="s">
        <v>53</v>
      </c>
      <c r="B42" s="25" t="s">
        <v>43</v>
      </c>
      <c r="C42" s="25" t="s">
        <v>45</v>
      </c>
      <c r="D42" s="25" t="s">
        <v>46</v>
      </c>
      <c r="E42" s="25" t="s">
        <v>47</v>
      </c>
      <c r="F42" s="25" t="s">
        <v>48</v>
      </c>
      <c r="G42" s="25" t="s">
        <v>49</v>
      </c>
      <c r="H42" s="25" t="s">
        <v>50</v>
      </c>
      <c r="I42" s="25" t="s">
        <v>51</v>
      </c>
      <c r="J42" s="25" t="s">
        <v>52</v>
      </c>
      <c r="K42" s="25" t="s">
        <v>55</v>
      </c>
    </row>
    <row r="43" customHeight="1" spans="1:11">
      <c r="A43" s="26">
        <v>45674</v>
      </c>
      <c r="B43" s="27">
        <f>SUM(C43:K43)</f>
        <v>1246084.8</v>
      </c>
      <c r="C43" s="28">
        <v>510241.91</v>
      </c>
      <c r="D43" s="28">
        <v>383274.75</v>
      </c>
      <c r="E43" s="28">
        <v>80649.41</v>
      </c>
      <c r="F43" s="28">
        <v>135312</v>
      </c>
      <c r="G43" s="28">
        <v>136606.73</v>
      </c>
      <c r="H43" s="27"/>
      <c r="I43" s="27"/>
      <c r="J43" s="27"/>
      <c r="K43" s="27"/>
    </row>
    <row r="44" customHeight="1" spans="1:11">
      <c r="A44" s="26">
        <v>45705</v>
      </c>
      <c r="B44" s="27">
        <f t="shared" ref="B44:B60" si="0">SUM(C44:K44)</f>
        <v>1177858.53</v>
      </c>
      <c r="C44" s="28">
        <v>475435.55</v>
      </c>
      <c r="D44" s="28">
        <v>369651.14</v>
      </c>
      <c r="E44" s="28">
        <v>72275.46</v>
      </c>
      <c r="F44" s="28">
        <v>112489.48</v>
      </c>
      <c r="G44" s="28">
        <v>148006.9</v>
      </c>
      <c r="H44" s="27"/>
      <c r="I44" s="27"/>
      <c r="J44" s="27"/>
      <c r="K44" s="27"/>
    </row>
    <row r="45" customHeight="1" spans="1:11">
      <c r="A45" s="26">
        <v>45717</v>
      </c>
      <c r="B45" s="27">
        <f t="shared" si="0"/>
        <v>2359410.09</v>
      </c>
      <c r="C45" s="28">
        <v>1089510.17</v>
      </c>
      <c r="D45" s="28">
        <v>667056.25</v>
      </c>
      <c r="E45" s="28">
        <v>158131.3</v>
      </c>
      <c r="F45" s="28">
        <v>211204.59</v>
      </c>
      <c r="G45" s="28">
        <v>233507.78</v>
      </c>
      <c r="H45" s="27"/>
      <c r="I45" s="27"/>
      <c r="J45" s="27"/>
      <c r="K45" s="27"/>
    </row>
    <row r="46" customHeight="1" spans="1:11">
      <c r="A46" s="26">
        <v>45748</v>
      </c>
      <c r="B46" s="27">
        <f t="shared" si="0"/>
        <v>2238234.71</v>
      </c>
      <c r="C46" s="28">
        <v>929687.05</v>
      </c>
      <c r="D46" s="28">
        <v>710867.88</v>
      </c>
      <c r="E46" s="28">
        <v>134531.68</v>
      </c>
      <c r="F46" s="28">
        <v>203616.86</v>
      </c>
      <c r="G46" s="28">
        <v>259531.24</v>
      </c>
      <c r="H46" s="27"/>
      <c r="I46" s="27"/>
      <c r="J46" s="27"/>
      <c r="K46" s="27"/>
    </row>
    <row r="47" customHeight="1" spans="1:11">
      <c r="A47" s="26">
        <v>45778</v>
      </c>
      <c r="B47" s="27">
        <f t="shared" si="0"/>
        <v>3062208.34</v>
      </c>
      <c r="C47" s="28">
        <v>1005996.75</v>
      </c>
      <c r="D47" s="28">
        <v>1052009.49</v>
      </c>
      <c r="E47" s="28">
        <v>249655.97</v>
      </c>
      <c r="F47" s="28">
        <v>301843.58</v>
      </c>
      <c r="G47" s="28">
        <v>364816.86</v>
      </c>
      <c r="H47" s="28">
        <v>30108.21</v>
      </c>
      <c r="I47" s="28">
        <v>49560.74</v>
      </c>
      <c r="J47" s="28">
        <v>8216.74</v>
      </c>
      <c r="K47" s="27"/>
    </row>
    <row r="48" customHeight="1" spans="1:11">
      <c r="A48" s="26">
        <v>45809</v>
      </c>
      <c r="B48" s="27">
        <f t="shared" si="0"/>
        <v>3766126.85</v>
      </c>
      <c r="C48" s="28">
        <v>1504525.38</v>
      </c>
      <c r="D48" s="28">
        <v>1208116.74</v>
      </c>
      <c r="E48" s="28">
        <v>236536.61</v>
      </c>
      <c r="F48" s="28">
        <v>274099.17</v>
      </c>
      <c r="G48" s="28">
        <v>383968.62</v>
      </c>
      <c r="H48" s="28">
        <v>47112.77</v>
      </c>
      <c r="I48" s="28">
        <v>92208.23</v>
      </c>
      <c r="J48" s="28">
        <v>19559.33</v>
      </c>
      <c r="K48" s="27"/>
    </row>
    <row r="49" customHeight="1" spans="1:11">
      <c r="A49" s="26">
        <v>45839</v>
      </c>
      <c r="B49" s="27">
        <f t="shared" si="0"/>
        <v>3210277.71</v>
      </c>
      <c r="C49" s="28">
        <v>1424361.64</v>
      </c>
      <c r="D49" s="28">
        <v>962821.85</v>
      </c>
      <c r="E49" s="28">
        <v>176714.74</v>
      </c>
      <c r="F49" s="28">
        <v>209866.98</v>
      </c>
      <c r="G49" s="28">
        <v>268769.07</v>
      </c>
      <c r="H49" s="28">
        <v>55298.42</v>
      </c>
      <c r="I49" s="28">
        <v>98511.5</v>
      </c>
      <c r="J49" s="28">
        <v>13933.51</v>
      </c>
      <c r="K49" s="27"/>
    </row>
    <row r="50" customHeight="1" spans="1:11">
      <c r="A50" s="26">
        <v>45870</v>
      </c>
      <c r="B50" s="27">
        <f t="shared" si="0"/>
        <v>2487724.15</v>
      </c>
      <c r="C50" s="28">
        <v>885321.24</v>
      </c>
      <c r="D50" s="28">
        <v>743724.24</v>
      </c>
      <c r="E50" s="28">
        <v>128033.72</v>
      </c>
      <c r="F50" s="28">
        <v>256054.44</v>
      </c>
      <c r="G50" s="28">
        <v>221519.1</v>
      </c>
      <c r="H50" s="28">
        <v>61697.47</v>
      </c>
      <c r="I50" s="28">
        <v>161377.62</v>
      </c>
      <c r="J50" s="28">
        <v>29996.32</v>
      </c>
      <c r="K50" s="27"/>
    </row>
    <row r="51" customHeight="1" spans="1:11">
      <c r="A51" s="26">
        <v>45901</v>
      </c>
      <c r="B51" s="27">
        <f t="shared" si="0"/>
        <v>2299725.19</v>
      </c>
      <c r="C51" s="28">
        <v>703261.44</v>
      </c>
      <c r="D51" s="28">
        <v>582082.45</v>
      </c>
      <c r="E51" s="28">
        <v>123869.23</v>
      </c>
      <c r="F51" s="28">
        <v>288324.02</v>
      </c>
      <c r="G51" s="28">
        <v>209800.41</v>
      </c>
      <c r="H51" s="28">
        <v>100945.08</v>
      </c>
      <c r="I51" s="28">
        <v>255793.58</v>
      </c>
      <c r="J51" s="28">
        <v>35648.98</v>
      </c>
      <c r="K51" s="27"/>
    </row>
    <row r="52" customHeight="1" spans="1:11">
      <c r="A52" s="26">
        <v>45931</v>
      </c>
      <c r="B52" s="27">
        <f t="shared" si="0"/>
        <v>3594665.13</v>
      </c>
      <c r="C52" s="28">
        <v>1265803.76</v>
      </c>
      <c r="D52" s="28">
        <v>1065066.76</v>
      </c>
      <c r="E52" s="28">
        <v>144350.01</v>
      </c>
      <c r="F52" s="28">
        <v>312916.29</v>
      </c>
      <c r="G52" s="28">
        <v>350274.41</v>
      </c>
      <c r="H52" s="28">
        <v>109560.95</v>
      </c>
      <c r="I52" s="28">
        <v>291443.49</v>
      </c>
      <c r="J52" s="28">
        <v>55249.46</v>
      </c>
      <c r="K52" s="27"/>
    </row>
    <row r="53" customHeight="1" spans="1:11">
      <c r="A53" s="26">
        <v>45962</v>
      </c>
      <c r="B53" s="27">
        <f t="shared" si="0"/>
        <v>9926537.66</v>
      </c>
      <c r="C53" s="28">
        <v>3387577.62</v>
      </c>
      <c r="D53" s="28">
        <v>3281933.28</v>
      </c>
      <c r="E53" s="28">
        <v>440533.33</v>
      </c>
      <c r="F53" s="28">
        <v>1119552.57</v>
      </c>
      <c r="G53" s="28">
        <v>736970.13</v>
      </c>
      <c r="H53" s="28">
        <v>263389.65</v>
      </c>
      <c r="I53" s="28">
        <v>571768.07</v>
      </c>
      <c r="J53" s="28">
        <v>124813.01</v>
      </c>
      <c r="K53" s="27"/>
    </row>
    <row r="54" customHeight="1" spans="1:11">
      <c r="A54" s="26">
        <v>45992</v>
      </c>
      <c r="B54" s="27">
        <f t="shared" si="0"/>
        <v>9895711.55</v>
      </c>
      <c r="C54" s="28">
        <v>2559288.53</v>
      </c>
      <c r="D54" s="28">
        <v>3540526.99</v>
      </c>
      <c r="E54" s="28">
        <v>891637.68</v>
      </c>
      <c r="F54" s="28">
        <v>1335286.98</v>
      </c>
      <c r="G54" s="28">
        <v>721769.8</v>
      </c>
      <c r="H54" s="28">
        <v>117310.43</v>
      </c>
      <c r="I54" s="28">
        <v>604291.08</v>
      </c>
      <c r="J54" s="28">
        <v>125600.06</v>
      </c>
      <c r="K54" s="27"/>
    </row>
    <row r="55" customHeight="1" spans="1:11">
      <c r="A55" s="26">
        <v>46023</v>
      </c>
      <c r="B55" s="27">
        <f t="shared" si="0"/>
        <v>2501422.86</v>
      </c>
      <c r="C55" s="28">
        <v>775688.68</v>
      </c>
      <c r="D55" s="28">
        <v>692644.67</v>
      </c>
      <c r="E55" s="28">
        <v>153806.97</v>
      </c>
      <c r="F55" s="28">
        <v>255859.15</v>
      </c>
      <c r="G55" s="28">
        <v>325833.39</v>
      </c>
      <c r="H55" s="28">
        <v>46741.21</v>
      </c>
      <c r="I55" s="28">
        <v>220567.94</v>
      </c>
      <c r="J55" s="28">
        <v>30280.85</v>
      </c>
      <c r="K55" s="27"/>
    </row>
    <row r="56" customHeight="1" spans="1:11">
      <c r="A56" s="26">
        <v>46054</v>
      </c>
      <c r="B56" s="27">
        <f t="shared" si="0"/>
        <v>2480768.69</v>
      </c>
      <c r="C56" s="28">
        <v>786944.74</v>
      </c>
      <c r="D56" s="28">
        <v>652991.13</v>
      </c>
      <c r="E56" s="28">
        <v>143657.83</v>
      </c>
      <c r="F56" s="28">
        <v>274865.32</v>
      </c>
      <c r="G56" s="28">
        <v>314717.67</v>
      </c>
      <c r="H56" s="28">
        <v>42729.71</v>
      </c>
      <c r="I56" s="28">
        <v>238401.35</v>
      </c>
      <c r="J56" s="28">
        <v>26460.94</v>
      </c>
      <c r="K56" s="27"/>
    </row>
    <row r="57" customHeight="1" spans="1:11">
      <c r="A57" s="26">
        <v>46082</v>
      </c>
      <c r="B57" s="27">
        <f t="shared" si="0"/>
        <v>2982201.91</v>
      </c>
      <c r="C57" s="28">
        <v>1159456.13</v>
      </c>
      <c r="D57" s="28">
        <v>785873.83</v>
      </c>
      <c r="E57" s="28">
        <v>151253.89</v>
      </c>
      <c r="F57" s="28">
        <v>259138.99</v>
      </c>
      <c r="G57" s="28">
        <v>296680.28</v>
      </c>
      <c r="H57" s="28">
        <v>79301.22</v>
      </c>
      <c r="I57" s="28">
        <v>223758.35</v>
      </c>
      <c r="J57" s="28">
        <v>26739.22</v>
      </c>
      <c r="K57" s="27"/>
    </row>
    <row r="58" customHeight="1" spans="1:11">
      <c r="A58" s="26">
        <v>46113</v>
      </c>
      <c r="B58" s="27">
        <f t="shared" si="0"/>
        <v>2054273.18</v>
      </c>
      <c r="C58" s="28">
        <v>657533.64</v>
      </c>
      <c r="D58" s="28">
        <v>454965.46</v>
      </c>
      <c r="E58" s="28">
        <v>202435.64</v>
      </c>
      <c r="F58" s="28">
        <v>238988.9</v>
      </c>
      <c r="G58" s="28">
        <v>229349.12</v>
      </c>
      <c r="H58" s="28">
        <v>63644.73</v>
      </c>
      <c r="I58" s="28">
        <v>183112.38</v>
      </c>
      <c r="J58" s="28">
        <v>24243.31</v>
      </c>
      <c r="K58" s="27"/>
    </row>
    <row r="59" customHeight="1" spans="1:11">
      <c r="A59" s="26">
        <v>46143</v>
      </c>
      <c r="B59" s="27">
        <f t="shared" si="0"/>
        <v>2746257.69</v>
      </c>
      <c r="C59" s="28">
        <v>724586.66</v>
      </c>
      <c r="D59" s="28">
        <v>773864.69</v>
      </c>
      <c r="E59" s="28">
        <v>178867.49</v>
      </c>
      <c r="F59" s="28">
        <v>289173.23</v>
      </c>
      <c r="G59" s="28">
        <v>347158.04</v>
      </c>
      <c r="H59" s="28">
        <v>84844.55</v>
      </c>
      <c r="I59" s="28">
        <v>314595.82</v>
      </c>
      <c r="J59" s="28">
        <v>33167.21</v>
      </c>
      <c r="K59" s="27"/>
    </row>
    <row r="60" customHeight="1" spans="1:11">
      <c r="A60" s="26">
        <v>46174</v>
      </c>
      <c r="B60" s="27">
        <f t="shared" si="0"/>
        <v>3319335.79</v>
      </c>
      <c r="C60" s="28">
        <v>1167965.4</v>
      </c>
      <c r="D60" s="28">
        <v>776356.16</v>
      </c>
      <c r="E60" s="28">
        <v>199708.58</v>
      </c>
      <c r="F60" s="28">
        <v>257718.38</v>
      </c>
      <c r="G60" s="28">
        <v>490316.61</v>
      </c>
      <c r="H60" s="28">
        <v>144492.65</v>
      </c>
      <c r="I60" s="28">
        <v>226898.9</v>
      </c>
      <c r="J60" s="28">
        <v>39524.75</v>
      </c>
      <c r="K60" s="28">
        <v>16354.36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workbookViewId="0">
      <selection activeCell="R23" sqref="R23"/>
    </sheetView>
  </sheetViews>
  <sheetFormatPr defaultColWidth="9" defaultRowHeight="15.75"/>
  <cols>
    <col min="1" max="1" width="12.375" customWidth="1"/>
    <col min="12" max="12" width="14" customWidth="1"/>
    <col min="17" max="17" width="17.625" customWidth="1"/>
  </cols>
  <sheetData>
    <row r="1" ht="32" customHeight="1" spans="1:20">
      <c r="A1" s="22" t="s">
        <v>57</v>
      </c>
      <c r="B1" s="23" t="s">
        <v>45</v>
      </c>
      <c r="C1" s="23" t="s">
        <v>46</v>
      </c>
      <c r="D1" s="23" t="s">
        <v>47</v>
      </c>
      <c r="E1" s="23" t="s">
        <v>48</v>
      </c>
      <c r="F1" s="23" t="s">
        <v>49</v>
      </c>
      <c r="G1" s="23" t="s">
        <v>50</v>
      </c>
      <c r="H1" s="23" t="s">
        <v>51</v>
      </c>
      <c r="I1" s="23" t="s">
        <v>52</v>
      </c>
      <c r="J1" s="23" t="s">
        <v>55</v>
      </c>
      <c r="K1" s="19"/>
      <c r="L1" s="22" t="s">
        <v>58</v>
      </c>
      <c r="M1" s="23" t="s">
        <v>45</v>
      </c>
      <c r="N1" s="23" t="s">
        <v>46</v>
      </c>
      <c r="O1" s="23" t="s">
        <v>48</v>
      </c>
      <c r="Q1" s="22" t="s">
        <v>59</v>
      </c>
      <c r="R1" s="23" t="s">
        <v>45</v>
      </c>
      <c r="S1" s="23" t="s">
        <v>46</v>
      </c>
      <c r="T1" s="23" t="s">
        <v>48</v>
      </c>
    </row>
    <row r="2" ht="16.5" customHeight="1" spans="1:20">
      <c r="A2" s="17">
        <v>45674</v>
      </c>
      <c r="B2" s="5">
        <v>19208</v>
      </c>
      <c r="C2" s="5">
        <v>112134</v>
      </c>
      <c r="D2" s="5">
        <v>10626</v>
      </c>
      <c r="E2" s="5">
        <v>3720</v>
      </c>
      <c r="F2" s="5">
        <v>7180</v>
      </c>
      <c r="G2" s="5"/>
      <c r="H2" s="5"/>
      <c r="I2" s="5"/>
      <c r="J2" s="5"/>
      <c r="L2" s="17">
        <v>45674</v>
      </c>
      <c r="M2" s="5">
        <v>10301</v>
      </c>
      <c r="N2" s="5">
        <v>12698</v>
      </c>
      <c r="O2" s="5">
        <v>3720</v>
      </c>
      <c r="Q2" s="17">
        <v>45674</v>
      </c>
      <c r="R2" s="5">
        <v>8854</v>
      </c>
      <c r="S2" s="5">
        <v>98505</v>
      </c>
      <c r="T2" s="5"/>
    </row>
    <row r="3" ht="16.5" customHeight="1" spans="1:20">
      <c r="A3" s="17">
        <v>45705</v>
      </c>
      <c r="B3" s="5">
        <v>17102</v>
      </c>
      <c r="C3" s="5">
        <v>116998</v>
      </c>
      <c r="D3" s="5">
        <v>6208</v>
      </c>
      <c r="E3" s="5">
        <v>3633</v>
      </c>
      <c r="F3" s="5">
        <v>10223</v>
      </c>
      <c r="G3" s="5"/>
      <c r="H3" s="5"/>
      <c r="I3" s="5"/>
      <c r="J3" s="5"/>
      <c r="L3" s="17">
        <v>45705</v>
      </c>
      <c r="M3" s="5">
        <v>9389</v>
      </c>
      <c r="N3" s="5">
        <v>12860</v>
      </c>
      <c r="O3" s="5">
        <v>3633</v>
      </c>
      <c r="Q3" s="17">
        <v>45705</v>
      </c>
      <c r="R3" s="5">
        <v>7557</v>
      </c>
      <c r="S3" s="5">
        <v>102780</v>
      </c>
      <c r="T3" s="5"/>
    </row>
    <row r="4" ht="16.5" customHeight="1" spans="1:20">
      <c r="A4" s="17">
        <v>45717</v>
      </c>
      <c r="B4" s="5">
        <v>19465</v>
      </c>
      <c r="C4" s="5">
        <v>123744</v>
      </c>
      <c r="D4" s="5">
        <v>6243</v>
      </c>
      <c r="E4" s="5">
        <v>3743</v>
      </c>
      <c r="F4" s="5">
        <v>7452</v>
      </c>
      <c r="G4" s="5"/>
      <c r="H4" s="5"/>
      <c r="I4" s="5"/>
      <c r="J4" s="5"/>
      <c r="L4" s="17">
        <v>45717</v>
      </c>
      <c r="M4" s="5">
        <v>11885</v>
      </c>
      <c r="N4" s="5">
        <v>14510</v>
      </c>
      <c r="O4" s="5">
        <v>3743</v>
      </c>
      <c r="Q4" s="17">
        <v>45717</v>
      </c>
      <c r="R4" s="5">
        <v>7688</v>
      </c>
      <c r="S4" s="5">
        <v>107891</v>
      </c>
      <c r="T4" s="5"/>
    </row>
    <row r="5" ht="16.5" customHeight="1" spans="1:20">
      <c r="A5" s="17">
        <v>45748</v>
      </c>
      <c r="B5" s="5">
        <v>19193</v>
      </c>
      <c r="C5" s="5">
        <v>121115</v>
      </c>
      <c r="D5" s="5">
        <v>6163</v>
      </c>
      <c r="E5" s="5">
        <v>3222</v>
      </c>
      <c r="F5" s="5">
        <v>6774</v>
      </c>
      <c r="G5" s="5">
        <v>105</v>
      </c>
      <c r="H5" s="5">
        <v>184</v>
      </c>
      <c r="I5" s="5">
        <v>323</v>
      </c>
      <c r="J5" s="5"/>
      <c r="L5" s="17">
        <v>45748</v>
      </c>
      <c r="M5" s="5">
        <v>10547</v>
      </c>
      <c r="N5" s="5">
        <v>13805</v>
      </c>
      <c r="O5" s="5">
        <v>3222</v>
      </c>
      <c r="Q5" s="17">
        <v>45748</v>
      </c>
      <c r="R5" s="5">
        <v>8715</v>
      </c>
      <c r="S5" s="5">
        <v>107605</v>
      </c>
      <c r="T5" s="5"/>
    </row>
    <row r="6" ht="16.5" customHeight="1" spans="1:20">
      <c r="A6" s="17">
        <v>45778</v>
      </c>
      <c r="B6" s="5">
        <v>27473</v>
      </c>
      <c r="C6" s="5">
        <v>114695</v>
      </c>
      <c r="D6" s="5">
        <v>4674</v>
      </c>
      <c r="E6" s="5">
        <v>3574</v>
      </c>
      <c r="F6" s="5">
        <v>12180</v>
      </c>
      <c r="G6" s="5">
        <v>108</v>
      </c>
      <c r="H6" s="5">
        <v>378</v>
      </c>
      <c r="I6" s="5">
        <v>592</v>
      </c>
      <c r="J6" s="5"/>
      <c r="L6" s="17">
        <v>45778</v>
      </c>
      <c r="M6" s="5">
        <v>13944</v>
      </c>
      <c r="N6" s="5">
        <v>15668</v>
      </c>
      <c r="O6" s="5">
        <v>3574</v>
      </c>
      <c r="Q6" s="17">
        <v>45778</v>
      </c>
      <c r="R6" s="5">
        <v>13782</v>
      </c>
      <c r="S6" s="5">
        <v>97989</v>
      </c>
      <c r="T6" s="5"/>
    </row>
    <row r="7" ht="16.5" customHeight="1" spans="1:20">
      <c r="A7" s="17">
        <v>45809</v>
      </c>
      <c r="B7" s="5">
        <v>30007</v>
      </c>
      <c r="C7" s="5">
        <v>106223</v>
      </c>
      <c r="D7" s="5">
        <v>4100</v>
      </c>
      <c r="E7" s="5">
        <v>2936</v>
      </c>
      <c r="F7" s="5">
        <v>9022</v>
      </c>
      <c r="G7" s="5">
        <v>184</v>
      </c>
      <c r="H7" s="5">
        <v>680</v>
      </c>
      <c r="I7" s="5">
        <v>587</v>
      </c>
      <c r="J7" s="5"/>
      <c r="L7" s="17">
        <v>45809</v>
      </c>
      <c r="M7" s="5">
        <v>11408</v>
      </c>
      <c r="N7" s="5">
        <v>17034</v>
      </c>
      <c r="O7" s="5">
        <v>2936</v>
      </c>
      <c r="Q7" s="17">
        <v>45809</v>
      </c>
      <c r="R7" s="5">
        <v>18851</v>
      </c>
      <c r="S7" s="5">
        <v>90275</v>
      </c>
      <c r="T7" s="5"/>
    </row>
    <row r="8" ht="16.5" customHeight="1" spans="1:20">
      <c r="A8" s="17">
        <v>45839</v>
      </c>
      <c r="B8" s="5">
        <v>35218</v>
      </c>
      <c r="C8" s="5">
        <v>136311</v>
      </c>
      <c r="D8" s="5">
        <v>3815</v>
      </c>
      <c r="E8" s="5">
        <v>2641</v>
      </c>
      <c r="F8" s="5">
        <v>6372</v>
      </c>
      <c r="G8" s="5">
        <v>254</v>
      </c>
      <c r="H8" s="5">
        <v>707</v>
      </c>
      <c r="I8" s="5">
        <v>819</v>
      </c>
      <c r="J8" s="5"/>
      <c r="L8" s="17">
        <v>45839</v>
      </c>
      <c r="M8" s="5">
        <v>11680</v>
      </c>
      <c r="N8" s="5">
        <v>14683</v>
      </c>
      <c r="O8" s="5">
        <v>2641</v>
      </c>
      <c r="Q8" s="17">
        <v>45839</v>
      </c>
      <c r="R8" s="5">
        <v>23955</v>
      </c>
      <c r="S8" s="5">
        <v>120819</v>
      </c>
      <c r="T8" s="5"/>
    </row>
    <row r="9" ht="16.5" customHeight="1" spans="1:20">
      <c r="A9" s="17">
        <v>45870</v>
      </c>
      <c r="B9" s="5">
        <v>31159</v>
      </c>
      <c r="C9" s="5">
        <v>125683</v>
      </c>
      <c r="D9" s="5">
        <v>2889</v>
      </c>
      <c r="E9" s="5">
        <v>2776</v>
      </c>
      <c r="F9" s="5">
        <v>6639</v>
      </c>
      <c r="G9" s="5">
        <v>197</v>
      </c>
      <c r="H9" s="5">
        <v>954</v>
      </c>
      <c r="I9" s="5">
        <v>769</v>
      </c>
      <c r="J9" s="5"/>
      <c r="L9" s="17">
        <v>45870</v>
      </c>
      <c r="M9" s="5">
        <v>6787</v>
      </c>
      <c r="N9" s="5">
        <v>13058</v>
      </c>
      <c r="O9" s="5">
        <v>2776</v>
      </c>
      <c r="Q9" s="17">
        <v>45870</v>
      </c>
      <c r="R9" s="5">
        <v>24409</v>
      </c>
      <c r="S9" s="5">
        <v>111679</v>
      </c>
      <c r="T9" s="5"/>
    </row>
    <row r="10" ht="16.5" customHeight="1" spans="1:20">
      <c r="A10" s="17">
        <v>45901</v>
      </c>
      <c r="B10" s="5">
        <v>29928</v>
      </c>
      <c r="C10" s="5">
        <v>129896</v>
      </c>
      <c r="D10" s="5">
        <v>2787</v>
      </c>
      <c r="E10" s="5">
        <v>3657</v>
      </c>
      <c r="F10" s="5">
        <v>7377</v>
      </c>
      <c r="G10" s="5">
        <v>336</v>
      </c>
      <c r="H10" s="5">
        <v>1611</v>
      </c>
      <c r="I10" s="5">
        <v>737</v>
      </c>
      <c r="J10" s="5"/>
      <c r="L10" s="17">
        <v>45901</v>
      </c>
      <c r="M10" s="5">
        <v>4600</v>
      </c>
      <c r="N10" s="5">
        <v>11669</v>
      </c>
      <c r="O10" s="5">
        <v>3657</v>
      </c>
      <c r="Q10" s="17">
        <v>45901</v>
      </c>
      <c r="R10" s="5">
        <v>25642</v>
      </c>
      <c r="S10" s="5">
        <v>118890</v>
      </c>
      <c r="T10" s="5"/>
    </row>
    <row r="11" ht="16.5" customHeight="1" spans="1:20">
      <c r="A11" s="17">
        <v>45931</v>
      </c>
      <c r="B11" s="5">
        <v>32099</v>
      </c>
      <c r="C11" s="5">
        <v>135850</v>
      </c>
      <c r="D11" s="5">
        <v>2996</v>
      </c>
      <c r="E11" s="5">
        <v>3822</v>
      </c>
      <c r="F11" s="5">
        <v>12422</v>
      </c>
      <c r="G11" s="5">
        <v>597</v>
      </c>
      <c r="H11" s="5">
        <v>2456</v>
      </c>
      <c r="I11" s="5">
        <v>1372</v>
      </c>
      <c r="J11" s="5"/>
      <c r="L11" s="17">
        <v>45931</v>
      </c>
      <c r="M11" s="5">
        <v>4456</v>
      </c>
      <c r="N11" s="5">
        <v>15083</v>
      </c>
      <c r="O11" s="5">
        <v>3792</v>
      </c>
      <c r="Q11" s="17">
        <v>45931</v>
      </c>
      <c r="R11" s="5">
        <v>27715</v>
      </c>
      <c r="S11" s="5">
        <v>122621</v>
      </c>
      <c r="T11" s="5">
        <v>28</v>
      </c>
    </row>
    <row r="12" ht="16.5" customHeight="1" spans="1:20">
      <c r="A12" s="17">
        <v>45962</v>
      </c>
      <c r="B12" s="5">
        <v>38009</v>
      </c>
      <c r="C12" s="5">
        <v>141183</v>
      </c>
      <c r="D12" s="5">
        <v>4914</v>
      </c>
      <c r="E12" s="5">
        <v>7215</v>
      </c>
      <c r="F12" s="5">
        <v>4756</v>
      </c>
      <c r="G12" s="5">
        <v>630</v>
      </c>
      <c r="H12" s="5">
        <v>4820</v>
      </c>
      <c r="I12" s="5">
        <v>2534</v>
      </c>
      <c r="J12" s="5"/>
      <c r="L12" s="17">
        <v>45962</v>
      </c>
      <c r="M12" s="5">
        <v>8628</v>
      </c>
      <c r="N12" s="5">
        <v>24837</v>
      </c>
      <c r="O12" s="5">
        <v>7134</v>
      </c>
      <c r="Q12" s="17">
        <v>45962</v>
      </c>
      <c r="R12" s="5">
        <v>29011</v>
      </c>
      <c r="S12" s="5">
        <v>114833</v>
      </c>
      <c r="T12" s="5">
        <v>81</v>
      </c>
    </row>
    <row r="13" ht="16.5" customHeight="1" spans="1:20">
      <c r="A13" s="17">
        <v>45992</v>
      </c>
      <c r="B13" s="5">
        <v>70227</v>
      </c>
      <c r="C13" s="5">
        <v>202228</v>
      </c>
      <c r="D13" s="5">
        <v>8373</v>
      </c>
      <c r="E13" s="5">
        <v>10002</v>
      </c>
      <c r="F13" s="5">
        <v>5256</v>
      </c>
      <c r="G13" s="5">
        <v>567</v>
      </c>
      <c r="H13" s="5">
        <v>5382</v>
      </c>
      <c r="I13" s="5">
        <v>3095</v>
      </c>
      <c r="J13" s="5"/>
      <c r="L13" s="17">
        <v>45992</v>
      </c>
      <c r="M13" s="5">
        <v>12416</v>
      </c>
      <c r="N13" s="5">
        <v>27961</v>
      </c>
      <c r="O13" s="5">
        <v>9539</v>
      </c>
      <c r="Q13" s="17">
        <v>45992</v>
      </c>
      <c r="R13" s="5">
        <v>57583</v>
      </c>
      <c r="S13" s="5">
        <v>174153</v>
      </c>
      <c r="T13" s="5">
        <v>508</v>
      </c>
    </row>
    <row r="14" ht="16.5" customHeight="1" spans="1:20">
      <c r="A14" s="17">
        <v>46023</v>
      </c>
      <c r="B14" s="5">
        <v>37241</v>
      </c>
      <c r="C14" s="5">
        <v>120126</v>
      </c>
      <c r="D14" s="5">
        <v>3959</v>
      </c>
      <c r="E14" s="5">
        <v>3951</v>
      </c>
      <c r="F14" s="5">
        <v>2803</v>
      </c>
      <c r="G14" s="5">
        <v>417</v>
      </c>
      <c r="H14" s="5">
        <v>2742</v>
      </c>
      <c r="I14" s="5">
        <v>821</v>
      </c>
      <c r="J14" s="5"/>
      <c r="L14" s="17">
        <v>46023</v>
      </c>
      <c r="M14" s="5">
        <v>5989</v>
      </c>
      <c r="N14" s="5">
        <v>10546</v>
      </c>
      <c r="O14" s="5">
        <v>3591</v>
      </c>
      <c r="Q14" s="17">
        <v>46023</v>
      </c>
      <c r="R14" s="5">
        <v>31375</v>
      </c>
      <c r="S14" s="5">
        <v>108294</v>
      </c>
      <c r="T14" s="5">
        <v>318</v>
      </c>
    </row>
    <row r="15" ht="16.5" customHeight="1" spans="1:20">
      <c r="A15" s="17">
        <v>46054</v>
      </c>
      <c r="B15" s="5">
        <v>26953</v>
      </c>
      <c r="C15" s="5">
        <v>80241</v>
      </c>
      <c r="D15" s="5">
        <v>3474</v>
      </c>
      <c r="E15" s="5">
        <v>4401</v>
      </c>
      <c r="F15" s="5">
        <v>2454</v>
      </c>
      <c r="G15" s="5">
        <v>215</v>
      </c>
      <c r="H15" s="5">
        <v>2445</v>
      </c>
      <c r="I15" s="5">
        <v>778</v>
      </c>
      <c r="J15" s="5"/>
      <c r="L15" s="17">
        <v>46054</v>
      </c>
      <c r="M15" s="5">
        <v>5394</v>
      </c>
      <c r="N15" s="5">
        <v>7312</v>
      </c>
      <c r="O15" s="5">
        <v>3836</v>
      </c>
      <c r="Q15" s="17">
        <v>46054</v>
      </c>
      <c r="R15" s="5">
        <v>21335</v>
      </c>
      <c r="S15" s="5">
        <v>72351</v>
      </c>
      <c r="T15" s="5">
        <v>559</v>
      </c>
    </row>
    <row r="16" ht="16.5" customHeight="1" spans="1:20">
      <c r="A16" s="17">
        <v>46082</v>
      </c>
      <c r="B16" s="5">
        <v>30354</v>
      </c>
      <c r="C16" s="5">
        <v>87721</v>
      </c>
      <c r="D16" s="5">
        <v>4510</v>
      </c>
      <c r="E16" s="5">
        <v>5698</v>
      </c>
      <c r="F16" s="5">
        <v>5328</v>
      </c>
      <c r="G16" s="5">
        <v>494</v>
      </c>
      <c r="H16" s="5">
        <v>2386</v>
      </c>
      <c r="I16" s="5">
        <v>935</v>
      </c>
      <c r="J16" s="5"/>
      <c r="L16" s="17">
        <v>46082</v>
      </c>
      <c r="M16" s="5">
        <v>6033</v>
      </c>
      <c r="N16" s="5">
        <v>8539</v>
      </c>
      <c r="O16" s="5">
        <v>4259</v>
      </c>
      <c r="Q16" s="17">
        <v>46082</v>
      </c>
      <c r="R16" s="5">
        <v>24567</v>
      </c>
      <c r="S16" s="5">
        <v>79349</v>
      </c>
      <c r="T16" s="5">
        <v>1432</v>
      </c>
    </row>
    <row r="17" ht="16.5" customHeight="1" spans="1:20">
      <c r="A17" s="17">
        <v>46113</v>
      </c>
      <c r="B17" s="5">
        <v>23612</v>
      </c>
      <c r="C17" s="5">
        <v>60546</v>
      </c>
      <c r="D17" s="5">
        <v>5736</v>
      </c>
      <c r="E17" s="5">
        <v>8100</v>
      </c>
      <c r="F17" s="5">
        <v>2778</v>
      </c>
      <c r="G17" s="5">
        <v>302</v>
      </c>
      <c r="H17" s="5">
        <v>1998</v>
      </c>
      <c r="I17" s="5">
        <v>1113</v>
      </c>
      <c r="J17" s="5"/>
      <c r="L17" s="17">
        <v>46113</v>
      </c>
      <c r="M17" s="5">
        <v>4247</v>
      </c>
      <c r="N17" s="5">
        <v>4312</v>
      </c>
      <c r="O17" s="5">
        <v>4114</v>
      </c>
      <c r="Q17" s="17">
        <v>46113</v>
      </c>
      <c r="R17" s="5">
        <v>19424</v>
      </c>
      <c r="S17" s="5">
        <v>56375</v>
      </c>
      <c r="T17" s="5">
        <v>3858</v>
      </c>
    </row>
    <row r="18" ht="16.5" customHeight="1" spans="1:20">
      <c r="A18" s="17">
        <v>46143</v>
      </c>
      <c r="B18" s="5">
        <v>17577</v>
      </c>
      <c r="C18" s="5">
        <v>46527</v>
      </c>
      <c r="D18" s="5">
        <v>7473</v>
      </c>
      <c r="E18" s="5">
        <v>6367</v>
      </c>
      <c r="F18" s="5">
        <v>3296</v>
      </c>
      <c r="G18" s="5">
        <v>405</v>
      </c>
      <c r="H18" s="5">
        <v>3266</v>
      </c>
      <c r="I18" s="5">
        <v>1426</v>
      </c>
      <c r="J18" s="5">
        <v>28</v>
      </c>
      <c r="L18" s="17">
        <v>46143</v>
      </c>
      <c r="M18" s="5">
        <v>3229</v>
      </c>
      <c r="N18" s="5">
        <v>3772</v>
      </c>
      <c r="O18" s="5">
        <v>5451</v>
      </c>
      <c r="Q18" s="17">
        <v>46143</v>
      </c>
      <c r="R18" s="5">
        <v>14552</v>
      </c>
      <c r="S18" s="5">
        <v>42951</v>
      </c>
      <c r="T18" s="5">
        <v>929</v>
      </c>
    </row>
    <row r="19" ht="16.5" customHeight="1" spans="1:20">
      <c r="A19" s="17">
        <v>46174</v>
      </c>
      <c r="B19" s="5">
        <v>21328</v>
      </c>
      <c r="C19" s="5">
        <v>46782</v>
      </c>
      <c r="D19" s="5">
        <v>5565</v>
      </c>
      <c r="E19" s="5">
        <v>6977</v>
      </c>
      <c r="F19" s="5">
        <v>3167</v>
      </c>
      <c r="G19" s="5">
        <v>1200</v>
      </c>
      <c r="H19" s="5">
        <v>2533</v>
      </c>
      <c r="I19" s="5">
        <v>1335</v>
      </c>
      <c r="J19" s="5">
        <v>195</v>
      </c>
      <c r="L19" s="17">
        <v>46174</v>
      </c>
      <c r="M19" s="5">
        <v>3803</v>
      </c>
      <c r="N19" s="5">
        <v>3811</v>
      </c>
      <c r="O19" s="5">
        <v>4940</v>
      </c>
      <c r="Q19" s="17">
        <v>46174</v>
      </c>
      <c r="R19" s="5">
        <v>18019</v>
      </c>
      <c r="S19" s="5">
        <v>42080</v>
      </c>
      <c r="T19" s="5">
        <v>1823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45"/>
  <sheetViews>
    <sheetView workbookViewId="0">
      <selection activeCell="H72" sqref="H72"/>
    </sheetView>
  </sheetViews>
  <sheetFormatPr defaultColWidth="10" defaultRowHeight="16.5" customHeight="1"/>
  <cols>
    <col min="1" max="1" width="22.625" customWidth="1"/>
    <col min="4" max="4" width="12.625" customWidth="1"/>
    <col min="5" max="5" width="9.5" customWidth="1"/>
    <col min="6" max="7" width="12.125"/>
    <col min="8" max="8" width="12.75" customWidth="1"/>
    <col min="9" max="9" width="11.75" customWidth="1"/>
    <col min="12" max="12" width="19.5" customWidth="1"/>
    <col min="13" max="13" width="12.375" customWidth="1"/>
    <col min="14" max="14" width="12" customWidth="1"/>
    <col min="15" max="15" width="11.875" customWidth="1"/>
    <col min="16" max="16" width="12.5" customWidth="1"/>
    <col min="17" max="17" width="17.5" customWidth="1"/>
  </cols>
  <sheetData>
    <row r="1" ht="36" customHeight="1" spans="1:20">
      <c r="A1" s="12" t="s">
        <v>45</v>
      </c>
      <c r="B1" s="13" t="s">
        <v>60</v>
      </c>
      <c r="C1" s="13" t="s">
        <v>61</v>
      </c>
      <c r="D1" s="13" t="s">
        <v>62</v>
      </c>
      <c r="E1" s="13" t="s">
        <v>63</v>
      </c>
      <c r="F1" s="14" t="s">
        <v>64</v>
      </c>
      <c r="G1" s="11"/>
      <c r="H1" s="12" t="s">
        <v>46</v>
      </c>
      <c r="I1" s="13" t="s">
        <v>60</v>
      </c>
      <c r="J1" s="13" t="s">
        <v>61</v>
      </c>
      <c r="K1" s="13" t="s">
        <v>62</v>
      </c>
      <c r="L1" s="13" t="s">
        <v>63</v>
      </c>
      <c r="M1" s="14" t="s">
        <v>64</v>
      </c>
      <c r="N1" s="11"/>
      <c r="O1" s="12" t="s">
        <v>47</v>
      </c>
      <c r="P1" s="13" t="s">
        <v>60</v>
      </c>
      <c r="Q1" s="13" t="s">
        <v>61</v>
      </c>
      <c r="R1" s="13" t="s">
        <v>62</v>
      </c>
      <c r="S1" s="13" t="s">
        <v>63</v>
      </c>
      <c r="T1" s="14" t="s">
        <v>64</v>
      </c>
    </row>
    <row r="2" customHeight="1" spans="1:20">
      <c r="A2" s="15">
        <v>45444</v>
      </c>
      <c r="B2" s="5">
        <v>3910</v>
      </c>
      <c r="C2" s="5">
        <v>388</v>
      </c>
      <c r="D2" s="13">
        <v>288</v>
      </c>
      <c r="E2" s="13"/>
      <c r="F2" s="16">
        <v>3234</v>
      </c>
      <c r="G2" s="11"/>
      <c r="H2" s="15">
        <v>45444</v>
      </c>
      <c r="I2" s="5">
        <v>73600</v>
      </c>
      <c r="J2" s="5">
        <v>2780</v>
      </c>
      <c r="K2" s="13">
        <v>65800</v>
      </c>
      <c r="L2" s="13"/>
      <c r="M2" s="16">
        <v>5020</v>
      </c>
      <c r="N2" s="11"/>
      <c r="O2" s="15">
        <v>45444</v>
      </c>
      <c r="P2" s="5">
        <v>187</v>
      </c>
      <c r="Q2" s="5">
        <v>64</v>
      </c>
      <c r="R2" s="13"/>
      <c r="S2" s="13"/>
      <c r="T2" s="16">
        <v>123</v>
      </c>
    </row>
    <row r="3" customHeight="1" spans="1:20">
      <c r="A3" s="15">
        <v>45474</v>
      </c>
      <c r="B3" s="5">
        <v>4320</v>
      </c>
      <c r="C3" s="5">
        <v>569</v>
      </c>
      <c r="D3" s="13">
        <v>245</v>
      </c>
      <c r="E3" s="13"/>
      <c r="F3" s="16">
        <v>3506</v>
      </c>
      <c r="G3" s="11"/>
      <c r="H3" s="15">
        <v>45474</v>
      </c>
      <c r="I3" s="5">
        <v>82800</v>
      </c>
      <c r="J3" s="5">
        <v>2300</v>
      </c>
      <c r="K3" s="13">
        <v>76400</v>
      </c>
      <c r="L3" s="13"/>
      <c r="M3" s="16">
        <v>4100</v>
      </c>
      <c r="N3" s="11"/>
      <c r="O3" s="15">
        <v>45474</v>
      </c>
      <c r="P3" s="5">
        <v>337</v>
      </c>
      <c r="Q3" s="5">
        <v>89</v>
      </c>
      <c r="R3" s="13"/>
      <c r="S3" s="13"/>
      <c r="T3" s="16">
        <v>248</v>
      </c>
    </row>
    <row r="4" customHeight="1" spans="1:20">
      <c r="A4" s="15">
        <v>45505</v>
      </c>
      <c r="B4" s="5">
        <v>5230</v>
      </c>
      <c r="C4" s="5">
        <v>606</v>
      </c>
      <c r="D4" s="13">
        <v>1040</v>
      </c>
      <c r="E4" s="13"/>
      <c r="F4" s="16">
        <v>3584</v>
      </c>
      <c r="G4" s="11"/>
      <c r="H4" s="15">
        <v>45505</v>
      </c>
      <c r="I4" s="5">
        <v>89500</v>
      </c>
      <c r="J4" s="5">
        <v>2330</v>
      </c>
      <c r="K4" s="13">
        <v>82800</v>
      </c>
      <c r="L4" s="13"/>
      <c r="M4" s="16">
        <v>4370</v>
      </c>
      <c r="N4" s="11"/>
      <c r="O4" s="15">
        <v>45505</v>
      </c>
      <c r="P4" s="5">
        <v>420</v>
      </c>
      <c r="Q4" s="5">
        <v>90</v>
      </c>
      <c r="R4" s="13"/>
      <c r="S4" s="13"/>
      <c r="T4" s="16">
        <v>330</v>
      </c>
    </row>
    <row r="5" customHeight="1" spans="1:20">
      <c r="A5" s="15">
        <v>45536</v>
      </c>
      <c r="B5" s="5">
        <v>7060</v>
      </c>
      <c r="C5" s="5">
        <v>762</v>
      </c>
      <c r="D5" s="13">
        <v>2540</v>
      </c>
      <c r="E5" s="13"/>
      <c r="F5" s="16">
        <v>3758</v>
      </c>
      <c r="G5" s="11"/>
      <c r="H5" s="15">
        <v>45536</v>
      </c>
      <c r="I5" s="5">
        <v>83800</v>
      </c>
      <c r="J5" s="5">
        <v>2340</v>
      </c>
      <c r="K5" s="13">
        <v>78000</v>
      </c>
      <c r="L5" s="13"/>
      <c r="M5" s="16">
        <v>3460</v>
      </c>
      <c r="N5" s="11"/>
      <c r="O5" s="15">
        <v>45536</v>
      </c>
      <c r="P5" s="5">
        <v>585</v>
      </c>
      <c r="Q5" s="5">
        <v>235</v>
      </c>
      <c r="R5" s="13"/>
      <c r="S5" s="13"/>
      <c r="T5" s="16">
        <v>350</v>
      </c>
    </row>
    <row r="6" customHeight="1" spans="1:20">
      <c r="A6" s="15">
        <v>45566</v>
      </c>
      <c r="B6" s="5">
        <v>11000</v>
      </c>
      <c r="C6" s="5">
        <v>1180</v>
      </c>
      <c r="D6" s="13">
        <v>4980</v>
      </c>
      <c r="E6" s="13"/>
      <c r="F6" s="16">
        <v>4840</v>
      </c>
      <c r="G6" s="11"/>
      <c r="H6" s="15">
        <v>45566</v>
      </c>
      <c r="I6" s="5">
        <v>88400</v>
      </c>
      <c r="J6" s="5">
        <v>3250</v>
      </c>
      <c r="K6" s="13">
        <v>80800</v>
      </c>
      <c r="L6" s="13"/>
      <c r="M6" s="16">
        <v>4350</v>
      </c>
      <c r="N6" s="11"/>
      <c r="O6" s="15">
        <v>45566</v>
      </c>
      <c r="P6" s="5">
        <v>1080</v>
      </c>
      <c r="Q6" s="5">
        <v>528</v>
      </c>
      <c r="R6" s="13"/>
      <c r="S6" s="13"/>
      <c r="T6" s="16">
        <v>552</v>
      </c>
    </row>
    <row r="7" customHeight="1" spans="1:20">
      <c r="A7" s="15">
        <v>45597</v>
      </c>
      <c r="B7" s="5">
        <v>18100</v>
      </c>
      <c r="C7" s="5">
        <v>2580</v>
      </c>
      <c r="D7" s="13">
        <v>7470</v>
      </c>
      <c r="E7" s="13"/>
      <c r="F7" s="16">
        <v>8050</v>
      </c>
      <c r="G7" s="11"/>
      <c r="H7" s="15">
        <v>45597</v>
      </c>
      <c r="I7" s="5">
        <v>90800</v>
      </c>
      <c r="J7" s="5">
        <v>11500</v>
      </c>
      <c r="K7" s="13">
        <v>71000</v>
      </c>
      <c r="L7" s="13"/>
      <c r="M7" s="16">
        <v>8300</v>
      </c>
      <c r="N7" s="11"/>
      <c r="O7" s="15">
        <v>45597</v>
      </c>
      <c r="P7" s="5">
        <v>2290</v>
      </c>
      <c r="Q7" s="5">
        <v>976</v>
      </c>
      <c r="R7" s="13"/>
      <c r="S7" s="13"/>
      <c r="T7" s="16">
        <v>1314</v>
      </c>
    </row>
    <row r="8" customHeight="1" spans="1:20">
      <c r="A8" s="15">
        <v>45627</v>
      </c>
      <c r="B8" s="5">
        <v>27100</v>
      </c>
      <c r="C8" s="5">
        <v>2810</v>
      </c>
      <c r="D8" s="13">
        <v>14900</v>
      </c>
      <c r="E8" s="13"/>
      <c r="F8" s="16">
        <v>9390</v>
      </c>
      <c r="G8" s="11"/>
      <c r="H8" s="15">
        <v>45627</v>
      </c>
      <c r="I8" s="5">
        <v>126000</v>
      </c>
      <c r="J8" s="5">
        <v>15100</v>
      </c>
      <c r="K8" s="13">
        <v>101000</v>
      </c>
      <c r="L8" s="13"/>
      <c r="M8" s="16">
        <v>9900</v>
      </c>
      <c r="N8" s="11"/>
      <c r="O8" s="15">
        <v>45627</v>
      </c>
      <c r="P8" s="5">
        <v>5830</v>
      </c>
      <c r="Q8" s="5">
        <v>2440</v>
      </c>
      <c r="R8" s="13"/>
      <c r="S8" s="13"/>
      <c r="T8" s="16">
        <v>3390</v>
      </c>
    </row>
    <row r="9" customHeight="1" spans="1:20">
      <c r="A9" s="17">
        <v>45674</v>
      </c>
      <c r="B9" s="5">
        <v>16100</v>
      </c>
      <c r="C9" s="5">
        <v>1150</v>
      </c>
      <c r="D9" s="13">
        <v>9310</v>
      </c>
      <c r="E9" s="5">
        <v>1020</v>
      </c>
      <c r="F9" s="16">
        <v>4620</v>
      </c>
      <c r="G9" s="11"/>
      <c r="H9" s="17">
        <v>45674</v>
      </c>
      <c r="I9" s="5">
        <v>101000</v>
      </c>
      <c r="J9" s="5">
        <v>3290</v>
      </c>
      <c r="K9" s="13">
        <v>93300</v>
      </c>
      <c r="L9" s="5">
        <v>1200</v>
      </c>
      <c r="M9" s="16">
        <v>3210</v>
      </c>
      <c r="N9" s="11"/>
      <c r="O9" s="17">
        <v>45674</v>
      </c>
      <c r="P9" s="5">
        <v>2730</v>
      </c>
      <c r="Q9" s="5">
        <v>821</v>
      </c>
      <c r="R9" s="5"/>
      <c r="S9" s="5">
        <v>228</v>
      </c>
      <c r="T9" s="16">
        <v>1681</v>
      </c>
    </row>
    <row r="10" customHeight="1" spans="1:20">
      <c r="A10" s="17">
        <v>45705</v>
      </c>
      <c r="B10" s="5">
        <v>14200</v>
      </c>
      <c r="C10" s="5">
        <v>898</v>
      </c>
      <c r="D10" s="13">
        <v>8050</v>
      </c>
      <c r="E10" s="5">
        <v>912</v>
      </c>
      <c r="F10" s="16">
        <v>4340</v>
      </c>
      <c r="G10" s="11"/>
      <c r="H10" s="17">
        <v>45705</v>
      </c>
      <c r="I10" s="5">
        <v>106000</v>
      </c>
      <c r="J10" s="5">
        <v>3430</v>
      </c>
      <c r="K10" s="13">
        <v>98200</v>
      </c>
      <c r="L10" s="5">
        <v>1150</v>
      </c>
      <c r="M10" s="16">
        <v>3220</v>
      </c>
      <c r="N10" s="11"/>
      <c r="O10" s="17">
        <v>45705</v>
      </c>
      <c r="P10" s="5">
        <v>2320</v>
      </c>
      <c r="Q10" s="5">
        <v>559</v>
      </c>
      <c r="R10" s="5"/>
      <c r="S10" s="5">
        <v>208</v>
      </c>
      <c r="T10" s="16">
        <v>1553</v>
      </c>
    </row>
    <row r="11" customHeight="1" spans="1:20">
      <c r="A11" s="17">
        <v>45717</v>
      </c>
      <c r="B11" s="5">
        <v>15300</v>
      </c>
      <c r="C11" s="5">
        <v>1520</v>
      </c>
      <c r="D11" s="13">
        <v>8180</v>
      </c>
      <c r="E11" s="5">
        <v>1080</v>
      </c>
      <c r="F11" s="16">
        <v>4520</v>
      </c>
      <c r="G11" s="11"/>
      <c r="H11" s="17">
        <v>45717</v>
      </c>
      <c r="I11" s="5">
        <v>110000</v>
      </c>
      <c r="J11" s="5">
        <v>4300</v>
      </c>
      <c r="K11" s="13">
        <v>100000</v>
      </c>
      <c r="L11" s="5">
        <v>1230</v>
      </c>
      <c r="M11" s="16">
        <v>4470</v>
      </c>
      <c r="N11" s="11"/>
      <c r="O11" s="17">
        <v>45717</v>
      </c>
      <c r="P11" s="5">
        <v>2490</v>
      </c>
      <c r="Q11" s="5">
        <v>835</v>
      </c>
      <c r="R11" s="5"/>
      <c r="S11" s="5">
        <v>255</v>
      </c>
      <c r="T11" s="16">
        <v>1400</v>
      </c>
    </row>
    <row r="12" customHeight="1" spans="1:20">
      <c r="A12" s="17">
        <v>45748</v>
      </c>
      <c r="B12" s="5">
        <v>16200</v>
      </c>
      <c r="C12" s="5">
        <v>1380</v>
      </c>
      <c r="D12" s="13">
        <v>9470</v>
      </c>
      <c r="E12" s="5">
        <v>912</v>
      </c>
      <c r="F12" s="16">
        <v>4438</v>
      </c>
      <c r="G12" s="11"/>
      <c r="H12" s="17">
        <v>45748</v>
      </c>
      <c r="I12" s="5">
        <v>123000</v>
      </c>
      <c r="J12" s="5">
        <v>4690</v>
      </c>
      <c r="K12" s="13">
        <v>114000</v>
      </c>
      <c r="L12" s="5">
        <v>988</v>
      </c>
      <c r="M12" s="16">
        <v>3322</v>
      </c>
      <c r="N12" s="11"/>
      <c r="O12" s="17">
        <v>45748</v>
      </c>
      <c r="P12" s="5">
        <v>2170</v>
      </c>
      <c r="Q12" s="5">
        <v>684</v>
      </c>
      <c r="R12" s="5"/>
      <c r="S12" s="5">
        <v>207</v>
      </c>
      <c r="T12" s="16">
        <v>1279</v>
      </c>
    </row>
    <row r="13" customHeight="1" spans="1:20">
      <c r="A13" s="17">
        <v>45778</v>
      </c>
      <c r="B13" s="5">
        <v>22400</v>
      </c>
      <c r="C13" s="5">
        <v>1410</v>
      </c>
      <c r="D13" s="13">
        <v>14000</v>
      </c>
      <c r="E13" s="5">
        <v>1260</v>
      </c>
      <c r="F13" s="16">
        <v>5730</v>
      </c>
      <c r="G13" s="11"/>
      <c r="H13" s="17">
        <v>45778</v>
      </c>
      <c r="I13" s="5">
        <v>102000</v>
      </c>
      <c r="J13" s="5">
        <v>5420</v>
      </c>
      <c r="K13" s="13">
        <v>90600</v>
      </c>
      <c r="L13" s="5">
        <v>1260</v>
      </c>
      <c r="M13" s="16">
        <v>4720</v>
      </c>
      <c r="N13" s="11"/>
      <c r="O13" s="17">
        <v>45778</v>
      </c>
      <c r="P13" s="5">
        <v>2910</v>
      </c>
      <c r="Q13" s="5">
        <v>1120</v>
      </c>
      <c r="R13" s="5"/>
      <c r="S13" s="5">
        <v>170</v>
      </c>
      <c r="T13" s="16">
        <v>1620</v>
      </c>
    </row>
    <row r="14" customHeight="1" spans="1:20">
      <c r="A14" s="17">
        <v>45809</v>
      </c>
      <c r="B14" s="5">
        <v>25300</v>
      </c>
      <c r="C14" s="5">
        <v>1990</v>
      </c>
      <c r="D14" s="13">
        <v>18300</v>
      </c>
      <c r="E14" s="5">
        <v>1000</v>
      </c>
      <c r="F14" s="16">
        <v>4010</v>
      </c>
      <c r="G14" s="11"/>
      <c r="H14" s="17">
        <v>45809</v>
      </c>
      <c r="I14" s="5">
        <v>94200</v>
      </c>
      <c r="J14" s="5">
        <v>6460</v>
      </c>
      <c r="K14" s="13">
        <v>81600</v>
      </c>
      <c r="L14" s="5">
        <v>1230</v>
      </c>
      <c r="M14" s="16">
        <v>4910</v>
      </c>
      <c r="N14" s="11"/>
      <c r="O14" s="17">
        <v>45809</v>
      </c>
      <c r="P14" s="5">
        <v>2530</v>
      </c>
      <c r="Q14" s="5">
        <v>967</v>
      </c>
      <c r="R14" s="5"/>
      <c r="S14" s="5">
        <v>194</v>
      </c>
      <c r="T14" s="16">
        <v>1369</v>
      </c>
    </row>
    <row r="15" customHeight="1" spans="1:20">
      <c r="A15" s="17">
        <v>45839</v>
      </c>
      <c r="B15" s="5">
        <v>32800</v>
      </c>
      <c r="C15" s="5">
        <v>1820</v>
      </c>
      <c r="D15" s="13">
        <v>25500</v>
      </c>
      <c r="E15" s="5">
        <v>1260</v>
      </c>
      <c r="F15" s="16">
        <v>4220</v>
      </c>
      <c r="G15" s="11"/>
      <c r="H15" s="17">
        <v>45839</v>
      </c>
      <c r="I15" s="5">
        <v>127000</v>
      </c>
      <c r="J15" s="5">
        <v>5510</v>
      </c>
      <c r="K15" s="13">
        <v>116000</v>
      </c>
      <c r="L15" s="5">
        <v>1150</v>
      </c>
      <c r="M15" s="16">
        <v>4340</v>
      </c>
      <c r="N15" s="11"/>
      <c r="O15" s="17">
        <v>45839</v>
      </c>
      <c r="P15" s="5">
        <v>2400</v>
      </c>
      <c r="Q15" s="5">
        <v>844</v>
      </c>
      <c r="R15" s="5"/>
      <c r="S15" s="5">
        <v>255</v>
      </c>
      <c r="T15" s="16">
        <v>1301</v>
      </c>
    </row>
    <row r="16" customHeight="1" spans="1:20">
      <c r="A16" s="17">
        <v>45870</v>
      </c>
      <c r="B16" s="5">
        <v>32000</v>
      </c>
      <c r="C16" s="5">
        <v>1300</v>
      </c>
      <c r="D16" s="13">
        <v>26100</v>
      </c>
      <c r="E16" s="5">
        <v>1360</v>
      </c>
      <c r="F16" s="16">
        <v>3240</v>
      </c>
      <c r="G16" s="11"/>
      <c r="H16" s="17">
        <v>45870</v>
      </c>
      <c r="I16" s="5">
        <v>124000</v>
      </c>
      <c r="J16" s="5">
        <v>4270</v>
      </c>
      <c r="K16" s="13">
        <v>115000</v>
      </c>
      <c r="L16" s="5">
        <v>1170</v>
      </c>
      <c r="M16" s="16">
        <v>3560</v>
      </c>
      <c r="N16" s="11"/>
      <c r="O16" s="17">
        <v>45870</v>
      </c>
      <c r="P16" s="5">
        <v>2150</v>
      </c>
      <c r="Q16" s="5">
        <v>541</v>
      </c>
      <c r="R16" s="5"/>
      <c r="S16" s="5">
        <v>379</v>
      </c>
      <c r="T16" s="16">
        <v>1230</v>
      </c>
    </row>
    <row r="17" customHeight="1" spans="1:20">
      <c r="A17" s="17">
        <v>45901</v>
      </c>
      <c r="B17" s="5">
        <v>33000</v>
      </c>
      <c r="C17" s="5">
        <v>915</v>
      </c>
      <c r="D17" s="13">
        <v>28200</v>
      </c>
      <c r="E17" s="5">
        <v>895</v>
      </c>
      <c r="F17" s="16">
        <v>2990</v>
      </c>
      <c r="G17" s="11"/>
      <c r="H17" s="17">
        <v>45901</v>
      </c>
      <c r="I17" s="5">
        <v>131000</v>
      </c>
      <c r="J17" s="18">
        <v>3260</v>
      </c>
      <c r="K17" s="13">
        <v>123000</v>
      </c>
      <c r="L17" s="5">
        <v>966</v>
      </c>
      <c r="M17" s="16">
        <v>3774</v>
      </c>
      <c r="N17" s="11"/>
      <c r="O17" s="17">
        <v>45901</v>
      </c>
      <c r="P17" s="5">
        <v>2010</v>
      </c>
      <c r="Q17" s="18">
        <v>552</v>
      </c>
      <c r="R17" s="5">
        <v>2</v>
      </c>
      <c r="S17" s="5">
        <v>278</v>
      </c>
      <c r="T17" s="16">
        <v>1178</v>
      </c>
    </row>
    <row r="18" customHeight="1" spans="1:20">
      <c r="A18" s="17">
        <v>45931</v>
      </c>
      <c r="B18" s="5">
        <v>34400</v>
      </c>
      <c r="C18" s="5">
        <v>1310</v>
      </c>
      <c r="D18" s="13">
        <v>28200</v>
      </c>
      <c r="E18" s="5">
        <v>1200</v>
      </c>
      <c r="F18" s="16">
        <v>3690</v>
      </c>
      <c r="G18" s="11"/>
      <c r="H18" s="17">
        <v>45931</v>
      </c>
      <c r="I18" s="5">
        <v>141000</v>
      </c>
      <c r="J18" s="18">
        <v>5090</v>
      </c>
      <c r="K18" s="13">
        <v>129000</v>
      </c>
      <c r="L18" s="5">
        <v>1250</v>
      </c>
      <c r="M18" s="16">
        <v>5660</v>
      </c>
      <c r="N18" s="11"/>
      <c r="O18" s="17">
        <v>45931</v>
      </c>
      <c r="P18" s="5">
        <v>2110</v>
      </c>
      <c r="Q18" s="18">
        <v>537</v>
      </c>
      <c r="R18" s="5">
        <v>4</v>
      </c>
      <c r="S18" s="5">
        <v>377</v>
      </c>
      <c r="T18" s="16">
        <v>1192</v>
      </c>
    </row>
    <row r="19" customHeight="1" spans="1:20">
      <c r="A19" s="17">
        <v>45962</v>
      </c>
      <c r="B19" s="5">
        <v>38900</v>
      </c>
      <c r="C19" s="5">
        <v>2300</v>
      </c>
      <c r="D19" s="13">
        <v>29400</v>
      </c>
      <c r="E19" s="5">
        <v>1340</v>
      </c>
      <c r="F19" s="16">
        <v>5860</v>
      </c>
      <c r="G19" s="11"/>
      <c r="H19" s="17">
        <v>45962</v>
      </c>
      <c r="I19" s="5">
        <v>155000</v>
      </c>
      <c r="J19" s="5">
        <v>10900</v>
      </c>
      <c r="K19" s="13">
        <v>132000</v>
      </c>
      <c r="L19" s="5">
        <v>1660</v>
      </c>
      <c r="M19" s="16">
        <v>10440</v>
      </c>
      <c r="N19" s="11"/>
      <c r="O19" s="17">
        <v>45962</v>
      </c>
      <c r="P19" s="5">
        <v>3680</v>
      </c>
      <c r="Q19" s="18">
        <v>1090</v>
      </c>
      <c r="R19" s="5">
        <v>34</v>
      </c>
      <c r="S19" s="5">
        <v>418</v>
      </c>
      <c r="T19" s="16">
        <v>2138</v>
      </c>
    </row>
    <row r="20" customHeight="1" spans="1:20">
      <c r="A20" s="17">
        <v>45992</v>
      </c>
      <c r="B20" s="5">
        <v>62400</v>
      </c>
      <c r="C20" s="5">
        <v>1960</v>
      </c>
      <c r="D20" s="13">
        <v>52800</v>
      </c>
      <c r="E20" s="5">
        <v>1290</v>
      </c>
      <c r="F20" s="16">
        <v>6350</v>
      </c>
      <c r="G20" s="11"/>
      <c r="H20" s="17">
        <v>45992</v>
      </c>
      <c r="I20" s="5">
        <v>213000</v>
      </c>
      <c r="J20" s="5">
        <v>10100</v>
      </c>
      <c r="K20" s="13">
        <v>189000</v>
      </c>
      <c r="L20" s="5">
        <v>1660</v>
      </c>
      <c r="M20" s="16">
        <v>12240</v>
      </c>
      <c r="N20" s="11"/>
      <c r="O20" s="17">
        <v>45992</v>
      </c>
      <c r="P20" s="5">
        <v>6570</v>
      </c>
      <c r="Q20" s="18">
        <v>1910</v>
      </c>
      <c r="R20" s="5">
        <v>471</v>
      </c>
      <c r="S20" s="5">
        <v>621</v>
      </c>
      <c r="T20" s="16">
        <v>3568</v>
      </c>
    </row>
    <row r="21" customHeight="1" spans="1:20">
      <c r="A21" s="17">
        <v>46023</v>
      </c>
      <c r="B21" s="5">
        <v>31800</v>
      </c>
      <c r="C21" s="18">
        <v>711</v>
      </c>
      <c r="D21" s="5">
        <v>27200</v>
      </c>
      <c r="E21" s="5">
        <v>707</v>
      </c>
      <c r="F21" s="16">
        <v>3182</v>
      </c>
      <c r="G21" s="11"/>
      <c r="H21" s="17">
        <v>46023</v>
      </c>
      <c r="I21" s="5">
        <v>112000</v>
      </c>
      <c r="J21" s="5">
        <v>2570</v>
      </c>
      <c r="K21" s="13">
        <v>104000</v>
      </c>
      <c r="L21" s="5">
        <v>689</v>
      </c>
      <c r="M21" s="16">
        <v>4741</v>
      </c>
      <c r="N21" s="11"/>
      <c r="O21" s="17">
        <v>46023</v>
      </c>
      <c r="P21" s="5">
        <v>2950</v>
      </c>
      <c r="Q21" s="5">
        <v>644</v>
      </c>
      <c r="R21" s="5">
        <v>412</v>
      </c>
      <c r="S21" s="5">
        <v>364</v>
      </c>
      <c r="T21" s="16">
        <v>1530</v>
      </c>
    </row>
    <row r="22" customHeight="1" spans="1:20">
      <c r="A22" s="17">
        <v>46054</v>
      </c>
      <c r="B22" s="5">
        <v>26500</v>
      </c>
      <c r="C22" s="18">
        <v>563</v>
      </c>
      <c r="D22" s="5">
        <v>21900</v>
      </c>
      <c r="E22" s="5">
        <v>782</v>
      </c>
      <c r="F22" s="16">
        <v>3255</v>
      </c>
      <c r="G22" s="11"/>
      <c r="H22" s="17">
        <v>46054</v>
      </c>
      <c r="I22" s="5">
        <v>75700</v>
      </c>
      <c r="J22" s="5">
        <v>2020</v>
      </c>
      <c r="K22" s="13">
        <v>70100</v>
      </c>
      <c r="L22" s="5">
        <v>724</v>
      </c>
      <c r="M22" s="16">
        <v>2856</v>
      </c>
      <c r="N22" s="11"/>
      <c r="O22" s="17">
        <v>46054</v>
      </c>
      <c r="P22" s="5">
        <v>2750</v>
      </c>
      <c r="Q22" s="5">
        <v>312</v>
      </c>
      <c r="R22" s="5">
        <v>537</v>
      </c>
      <c r="S22" s="5">
        <v>433</v>
      </c>
      <c r="T22" s="16">
        <v>1468</v>
      </c>
    </row>
    <row r="23" customHeight="1" spans="1:20">
      <c r="A23" s="17">
        <v>46082</v>
      </c>
      <c r="B23" s="5">
        <v>30100</v>
      </c>
      <c r="C23" s="18">
        <v>730</v>
      </c>
      <c r="D23" s="5">
        <v>25000</v>
      </c>
      <c r="E23" s="5">
        <v>844</v>
      </c>
      <c r="F23" s="16">
        <v>3526</v>
      </c>
      <c r="G23" s="11"/>
      <c r="H23" s="17">
        <v>46082</v>
      </c>
      <c r="I23" s="5">
        <v>85400</v>
      </c>
      <c r="J23" s="5">
        <v>2790</v>
      </c>
      <c r="K23" s="13">
        <v>78600</v>
      </c>
      <c r="L23" s="5">
        <v>849</v>
      </c>
      <c r="M23" s="16">
        <v>3161</v>
      </c>
      <c r="N23" s="11"/>
      <c r="O23" s="17">
        <v>46082</v>
      </c>
      <c r="P23" s="5">
        <v>3540</v>
      </c>
      <c r="Q23" s="5">
        <v>433</v>
      </c>
      <c r="R23" s="5">
        <v>718</v>
      </c>
      <c r="S23" s="5">
        <v>500</v>
      </c>
      <c r="T23" s="16">
        <v>1889</v>
      </c>
    </row>
    <row r="24" customHeight="1" spans="1:20">
      <c r="A24" s="17">
        <v>46113</v>
      </c>
      <c r="B24" s="5">
        <v>33200</v>
      </c>
      <c r="C24" s="18">
        <v>446</v>
      </c>
      <c r="D24" s="5">
        <v>27700</v>
      </c>
      <c r="E24" s="5">
        <v>753</v>
      </c>
      <c r="F24" s="16">
        <v>4301</v>
      </c>
      <c r="G24" s="11"/>
      <c r="H24" s="17">
        <v>46113</v>
      </c>
      <c r="I24" s="5">
        <v>89400</v>
      </c>
      <c r="J24" s="5">
        <v>1460</v>
      </c>
      <c r="K24" s="13">
        <v>84300</v>
      </c>
      <c r="L24" s="5">
        <v>636</v>
      </c>
      <c r="M24" s="16">
        <v>3004</v>
      </c>
      <c r="N24" s="11"/>
      <c r="O24" s="17">
        <v>46113</v>
      </c>
      <c r="P24" s="5">
        <v>3670</v>
      </c>
      <c r="Q24" s="5">
        <v>334</v>
      </c>
      <c r="R24" s="5">
        <v>913</v>
      </c>
      <c r="S24" s="5">
        <v>479</v>
      </c>
      <c r="T24" s="16">
        <v>1944</v>
      </c>
    </row>
    <row r="25" customHeight="1" spans="1:20">
      <c r="A25" s="17">
        <v>46143</v>
      </c>
      <c r="B25" s="5">
        <v>37500</v>
      </c>
      <c r="C25" s="18">
        <v>791</v>
      </c>
      <c r="D25" s="5">
        <v>30900</v>
      </c>
      <c r="E25" s="5">
        <v>728</v>
      </c>
      <c r="F25" s="16">
        <v>5081</v>
      </c>
      <c r="G25" s="11"/>
      <c r="H25" s="17">
        <v>46143</v>
      </c>
      <c r="I25" s="5">
        <v>93200</v>
      </c>
      <c r="J25" s="5">
        <v>1660</v>
      </c>
      <c r="K25" s="13">
        <v>86500</v>
      </c>
      <c r="L25" s="5">
        <v>813</v>
      </c>
      <c r="M25" s="16">
        <v>4227</v>
      </c>
      <c r="N25" s="11"/>
      <c r="O25" s="17">
        <v>46143</v>
      </c>
      <c r="P25" s="5">
        <v>4370</v>
      </c>
      <c r="Q25" s="5">
        <v>347</v>
      </c>
      <c r="R25" s="5">
        <v>1440</v>
      </c>
      <c r="S25" s="5">
        <v>473</v>
      </c>
      <c r="T25" s="16">
        <v>2110</v>
      </c>
    </row>
    <row r="26" customHeight="1" spans="1:20">
      <c r="A26" s="17">
        <v>46174</v>
      </c>
      <c r="B26" s="5">
        <v>37000</v>
      </c>
      <c r="C26" s="18">
        <v>674</v>
      </c>
      <c r="D26" s="5">
        <v>32100</v>
      </c>
      <c r="E26" s="5">
        <v>655</v>
      </c>
      <c r="F26" s="16">
        <v>3571</v>
      </c>
      <c r="G26" s="11"/>
      <c r="H26" s="17">
        <v>46174</v>
      </c>
      <c r="I26" s="5">
        <v>92600</v>
      </c>
      <c r="J26" s="5">
        <v>1560</v>
      </c>
      <c r="K26" s="13">
        <v>86300</v>
      </c>
      <c r="L26" s="5">
        <v>693</v>
      </c>
      <c r="M26" s="16">
        <v>4047</v>
      </c>
      <c r="N26" s="11"/>
      <c r="O26" s="17">
        <v>46174</v>
      </c>
      <c r="P26" s="5">
        <v>6940</v>
      </c>
      <c r="Q26" s="5">
        <v>299</v>
      </c>
      <c r="R26" s="5">
        <v>1460</v>
      </c>
      <c r="S26" s="5">
        <v>398</v>
      </c>
      <c r="T26" s="16">
        <v>4783</v>
      </c>
    </row>
    <row r="27" customHeight="1" spans="1:20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customHeight="1" spans="1:20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27.75" customHeight="1" spans="1:20">
      <c r="A29" s="12" t="s">
        <v>48</v>
      </c>
      <c r="B29" s="13" t="s">
        <v>60</v>
      </c>
      <c r="C29" s="13" t="s">
        <v>61</v>
      </c>
      <c r="D29" s="13" t="s">
        <v>62</v>
      </c>
      <c r="E29" s="13" t="s">
        <v>63</v>
      </c>
      <c r="F29" s="14" t="s">
        <v>64</v>
      </c>
      <c r="G29" s="11"/>
      <c r="H29" s="12" t="s">
        <v>49</v>
      </c>
      <c r="I29" s="13" t="s">
        <v>60</v>
      </c>
      <c r="J29" s="13" t="s">
        <v>61</v>
      </c>
      <c r="K29" s="13" t="s">
        <v>62</v>
      </c>
      <c r="L29" s="13" t="s">
        <v>63</v>
      </c>
      <c r="M29" s="14" t="s">
        <v>64</v>
      </c>
    </row>
    <row r="30" customHeight="1" spans="1:20">
      <c r="A30" s="15">
        <v>45444</v>
      </c>
      <c r="B30" s="5">
        <v>284</v>
      </c>
      <c r="C30" s="5">
        <v>3</v>
      </c>
      <c r="D30" s="13"/>
      <c r="E30" s="13"/>
      <c r="F30" s="16">
        <v>281</v>
      </c>
      <c r="G30" s="11"/>
      <c r="H30" s="15">
        <v>45444</v>
      </c>
      <c r="I30" s="5">
        <v>704</v>
      </c>
      <c r="J30" s="5">
        <v>3</v>
      </c>
      <c r="K30" s="13"/>
      <c r="L30" s="13"/>
      <c r="M30" s="16">
        <v>701</v>
      </c>
    </row>
    <row r="31" customHeight="1" spans="1:20">
      <c r="A31" s="15">
        <v>45474</v>
      </c>
      <c r="B31" s="5">
        <v>355</v>
      </c>
      <c r="C31" s="5">
        <v>16</v>
      </c>
      <c r="D31" s="13"/>
      <c r="E31" s="13"/>
      <c r="F31" s="16">
        <v>339</v>
      </c>
      <c r="G31" s="11"/>
      <c r="H31" s="15">
        <v>45474</v>
      </c>
      <c r="I31" s="5">
        <v>813</v>
      </c>
      <c r="J31" s="5">
        <v>13</v>
      </c>
      <c r="K31" s="13"/>
      <c r="L31" s="13"/>
      <c r="M31" s="16">
        <v>800</v>
      </c>
    </row>
    <row r="32" customHeight="1" spans="1:20">
      <c r="A32" s="15">
        <v>45505</v>
      </c>
      <c r="B32" s="5">
        <v>514</v>
      </c>
      <c r="C32" s="5">
        <v>123</v>
      </c>
      <c r="D32" s="13"/>
      <c r="E32" s="13"/>
      <c r="F32" s="16">
        <v>391</v>
      </c>
      <c r="G32" s="11"/>
      <c r="H32" s="15">
        <v>45505</v>
      </c>
      <c r="I32" s="5">
        <v>855</v>
      </c>
      <c r="J32" s="5">
        <v>32</v>
      </c>
      <c r="K32" s="13"/>
      <c r="L32" s="13"/>
      <c r="M32" s="16">
        <v>823</v>
      </c>
    </row>
    <row r="33" customHeight="1" spans="1:13">
      <c r="A33" s="15">
        <v>45536</v>
      </c>
      <c r="B33" s="5">
        <v>771</v>
      </c>
      <c r="C33" s="5">
        <v>273</v>
      </c>
      <c r="D33" s="13"/>
      <c r="E33" s="13"/>
      <c r="F33" s="16">
        <v>498</v>
      </c>
      <c r="G33" s="11"/>
      <c r="H33" s="15">
        <v>45536</v>
      </c>
      <c r="I33" s="5">
        <v>1100</v>
      </c>
      <c r="J33" s="5">
        <v>112</v>
      </c>
      <c r="K33" s="13"/>
      <c r="L33" s="13"/>
      <c r="M33" s="16">
        <v>988</v>
      </c>
    </row>
    <row r="34" customHeight="1" spans="1:13">
      <c r="A34" s="15">
        <v>45566</v>
      </c>
      <c r="B34" s="5">
        <v>1430</v>
      </c>
      <c r="C34" s="5">
        <v>421</v>
      </c>
      <c r="D34" s="13"/>
      <c r="E34" s="13"/>
      <c r="F34" s="16">
        <v>1009</v>
      </c>
      <c r="G34" s="11"/>
      <c r="H34" s="15">
        <v>45566</v>
      </c>
      <c r="I34" s="5">
        <v>1680</v>
      </c>
      <c r="J34" s="5">
        <v>281</v>
      </c>
      <c r="K34" s="13"/>
      <c r="L34" s="13"/>
      <c r="M34" s="16">
        <v>1399</v>
      </c>
    </row>
    <row r="35" customHeight="1" spans="1:13">
      <c r="A35" s="15">
        <v>45597</v>
      </c>
      <c r="B35" s="5">
        <v>3910</v>
      </c>
      <c r="C35" s="5">
        <v>1390</v>
      </c>
      <c r="D35" s="13"/>
      <c r="E35" s="13"/>
      <c r="F35" s="16">
        <v>2520</v>
      </c>
      <c r="G35" s="11"/>
      <c r="H35" s="15">
        <v>45597</v>
      </c>
      <c r="I35" s="5">
        <v>2670</v>
      </c>
      <c r="J35" s="5">
        <v>576</v>
      </c>
      <c r="K35" s="13"/>
      <c r="L35" s="13"/>
      <c r="M35" s="16">
        <v>2094</v>
      </c>
    </row>
    <row r="36" customHeight="1" spans="1:13">
      <c r="A36" s="15">
        <v>45627</v>
      </c>
      <c r="B36" s="5">
        <v>6820</v>
      </c>
      <c r="C36" s="5">
        <v>2660</v>
      </c>
      <c r="D36" s="13"/>
      <c r="E36" s="13"/>
      <c r="F36" s="16">
        <v>4160</v>
      </c>
      <c r="G36" s="11"/>
      <c r="H36" s="15">
        <v>45627</v>
      </c>
      <c r="I36" s="5">
        <v>3870</v>
      </c>
      <c r="J36" s="5">
        <v>814</v>
      </c>
      <c r="K36" s="13"/>
      <c r="L36" s="13"/>
      <c r="M36" s="16">
        <v>3056</v>
      </c>
    </row>
    <row r="37" customHeight="1" spans="1:13">
      <c r="A37" s="17">
        <v>45674</v>
      </c>
      <c r="B37" s="5">
        <v>3100</v>
      </c>
      <c r="C37" s="5">
        <v>825</v>
      </c>
      <c r="D37" s="5"/>
      <c r="E37" s="5">
        <v>207</v>
      </c>
      <c r="F37" s="16">
        <v>2068</v>
      </c>
      <c r="G37" s="11"/>
      <c r="H37" s="17">
        <v>45674</v>
      </c>
      <c r="I37" s="5">
        <v>2080</v>
      </c>
      <c r="J37" s="5">
        <v>383</v>
      </c>
      <c r="K37" s="5"/>
      <c r="L37" s="5">
        <v>393</v>
      </c>
      <c r="M37" s="16">
        <v>1304</v>
      </c>
    </row>
    <row r="38" customHeight="1" spans="1:13">
      <c r="A38" s="17">
        <v>45705</v>
      </c>
      <c r="B38" s="5">
        <v>2750</v>
      </c>
      <c r="C38" s="5">
        <v>599</v>
      </c>
      <c r="D38" s="5"/>
      <c r="E38" s="5">
        <v>199</v>
      </c>
      <c r="F38" s="16">
        <v>1952</v>
      </c>
      <c r="G38" s="11"/>
      <c r="H38" s="17">
        <v>45705</v>
      </c>
      <c r="I38" s="5">
        <v>2140</v>
      </c>
      <c r="J38" s="5">
        <v>312</v>
      </c>
      <c r="K38" s="5"/>
      <c r="L38" s="5">
        <v>480</v>
      </c>
      <c r="M38" s="16">
        <v>1348</v>
      </c>
    </row>
    <row r="39" customHeight="1" spans="1:13">
      <c r="A39" s="17">
        <v>45717</v>
      </c>
      <c r="B39" s="5">
        <v>2980</v>
      </c>
      <c r="C39" s="5">
        <v>835</v>
      </c>
      <c r="D39" s="5"/>
      <c r="E39" s="5">
        <v>187</v>
      </c>
      <c r="F39" s="16">
        <v>1958</v>
      </c>
      <c r="G39" s="11"/>
      <c r="H39" s="17">
        <v>45717</v>
      </c>
      <c r="I39" s="5">
        <v>2100</v>
      </c>
      <c r="J39" s="5">
        <v>369</v>
      </c>
      <c r="K39" s="5"/>
      <c r="L39" s="5">
        <v>347</v>
      </c>
      <c r="M39" s="16">
        <v>1384</v>
      </c>
    </row>
    <row r="40" customHeight="1" spans="1:13">
      <c r="A40" s="17">
        <v>45748</v>
      </c>
      <c r="B40" s="5">
        <v>2860</v>
      </c>
      <c r="C40" s="5">
        <v>747</v>
      </c>
      <c r="D40" s="5"/>
      <c r="E40" s="5">
        <v>142</v>
      </c>
      <c r="F40" s="16">
        <v>1971</v>
      </c>
      <c r="G40" s="11"/>
      <c r="H40" s="17">
        <v>45748</v>
      </c>
      <c r="I40" s="5">
        <v>2050</v>
      </c>
      <c r="J40" s="5">
        <v>394</v>
      </c>
      <c r="K40" s="5"/>
      <c r="L40" s="5">
        <v>352</v>
      </c>
      <c r="M40" s="16">
        <v>1304</v>
      </c>
    </row>
    <row r="41" customHeight="1" spans="1:13">
      <c r="A41" s="17">
        <v>45778</v>
      </c>
      <c r="B41" s="5">
        <v>3380</v>
      </c>
      <c r="C41" s="5">
        <v>1110</v>
      </c>
      <c r="D41" s="5"/>
      <c r="E41" s="5">
        <v>131</v>
      </c>
      <c r="F41" s="16">
        <v>2139</v>
      </c>
      <c r="G41" s="11"/>
      <c r="H41" s="17">
        <v>45778</v>
      </c>
      <c r="I41" s="5">
        <v>3390</v>
      </c>
      <c r="J41" s="5">
        <v>590</v>
      </c>
      <c r="K41" s="5"/>
      <c r="L41" s="5">
        <v>618</v>
      </c>
      <c r="M41" s="16">
        <v>2182</v>
      </c>
    </row>
    <row r="42" customHeight="1" spans="1:13">
      <c r="A42" s="17">
        <v>45809</v>
      </c>
      <c r="B42" s="5">
        <v>2630</v>
      </c>
      <c r="C42" s="5">
        <v>956</v>
      </c>
      <c r="D42" s="5"/>
      <c r="E42" s="5">
        <v>157</v>
      </c>
      <c r="F42" s="16">
        <v>1517</v>
      </c>
      <c r="G42" s="11"/>
      <c r="H42" s="17">
        <v>45809</v>
      </c>
      <c r="I42" s="5">
        <v>3400</v>
      </c>
      <c r="J42" s="5">
        <v>617</v>
      </c>
      <c r="K42" s="5"/>
      <c r="L42" s="5">
        <v>676</v>
      </c>
      <c r="M42" s="16">
        <v>2107</v>
      </c>
    </row>
    <row r="43" customHeight="1" spans="1:13">
      <c r="A43" s="17">
        <v>45839</v>
      </c>
      <c r="B43" s="5">
        <v>2900</v>
      </c>
      <c r="C43" s="5">
        <v>911</v>
      </c>
      <c r="D43" s="5"/>
      <c r="E43" s="5">
        <v>196</v>
      </c>
      <c r="F43" s="16">
        <v>1793</v>
      </c>
      <c r="G43" s="11"/>
      <c r="H43" s="17">
        <v>45839</v>
      </c>
      <c r="I43" s="5">
        <v>2460</v>
      </c>
      <c r="J43" s="5">
        <v>419</v>
      </c>
      <c r="K43" s="5"/>
      <c r="L43" s="5">
        <v>476</v>
      </c>
      <c r="M43" s="16">
        <v>1565</v>
      </c>
    </row>
    <row r="44" customHeight="1" spans="1:13">
      <c r="A44" s="17">
        <v>45870</v>
      </c>
      <c r="B44" s="5">
        <v>3190</v>
      </c>
      <c r="C44" s="5">
        <v>971</v>
      </c>
      <c r="D44" s="5"/>
      <c r="E44" s="5">
        <v>244</v>
      </c>
      <c r="F44" s="16">
        <v>1975</v>
      </c>
      <c r="G44" s="11"/>
      <c r="H44" s="17">
        <v>45870</v>
      </c>
      <c r="I44" s="5">
        <v>2590</v>
      </c>
      <c r="J44" s="5">
        <v>342</v>
      </c>
      <c r="K44" s="5"/>
      <c r="L44" s="5">
        <v>491</v>
      </c>
      <c r="M44" s="16">
        <v>1757</v>
      </c>
    </row>
    <row r="45" customHeight="1" spans="1:13">
      <c r="A45" s="17">
        <v>45901</v>
      </c>
      <c r="B45" s="5">
        <v>4110</v>
      </c>
      <c r="C45" s="18">
        <v>1390</v>
      </c>
      <c r="D45" s="5">
        <v>3</v>
      </c>
      <c r="E45" s="5">
        <v>174</v>
      </c>
      <c r="F45" s="16">
        <v>2543</v>
      </c>
      <c r="G45" s="11"/>
      <c r="H45" s="17">
        <v>45901</v>
      </c>
      <c r="I45" s="5">
        <v>2510</v>
      </c>
      <c r="J45" s="18">
        <v>337</v>
      </c>
      <c r="K45" s="5"/>
      <c r="L45" s="5">
        <v>410</v>
      </c>
      <c r="M45" s="16">
        <v>1763</v>
      </c>
    </row>
    <row r="46" customHeight="1" spans="1:13">
      <c r="A46" s="17">
        <v>45931</v>
      </c>
      <c r="B46" s="5">
        <v>4390</v>
      </c>
      <c r="C46" s="18">
        <v>1200</v>
      </c>
      <c r="D46" s="5">
        <v>33</v>
      </c>
      <c r="E46" s="5">
        <v>291</v>
      </c>
      <c r="F46" s="16">
        <v>2866</v>
      </c>
      <c r="G46" s="11"/>
      <c r="H46" s="17">
        <v>45931</v>
      </c>
      <c r="I46" s="5">
        <v>2910</v>
      </c>
      <c r="J46" s="18">
        <v>518</v>
      </c>
      <c r="K46" s="5">
        <v>1</v>
      </c>
      <c r="L46" s="5">
        <v>425</v>
      </c>
      <c r="M46" s="16">
        <v>1966</v>
      </c>
    </row>
    <row r="47" customHeight="1" spans="1:13">
      <c r="A47" s="17">
        <v>45962</v>
      </c>
      <c r="B47" s="5">
        <v>7410</v>
      </c>
      <c r="C47" s="18">
        <v>2650</v>
      </c>
      <c r="D47" s="5">
        <v>69</v>
      </c>
      <c r="E47" s="5">
        <v>252</v>
      </c>
      <c r="F47" s="16">
        <v>4439</v>
      </c>
      <c r="G47" s="11"/>
      <c r="H47" s="17">
        <v>45962</v>
      </c>
      <c r="I47" s="5">
        <v>4170</v>
      </c>
      <c r="J47" s="18">
        <v>825</v>
      </c>
      <c r="K47" s="5">
        <v>14</v>
      </c>
      <c r="L47" s="5">
        <v>425</v>
      </c>
      <c r="M47" s="16">
        <v>2906</v>
      </c>
    </row>
    <row r="48" customHeight="1" spans="1:13">
      <c r="A48" s="17">
        <v>45992</v>
      </c>
      <c r="B48" s="5">
        <v>9450</v>
      </c>
      <c r="C48" s="18">
        <v>2960</v>
      </c>
      <c r="D48" s="5">
        <v>381</v>
      </c>
      <c r="E48" s="5">
        <v>278</v>
      </c>
      <c r="F48" s="16">
        <v>5831</v>
      </c>
      <c r="G48" s="11"/>
      <c r="H48" s="17">
        <v>45992</v>
      </c>
      <c r="I48" s="5">
        <v>4480</v>
      </c>
      <c r="J48" s="18">
        <v>695</v>
      </c>
      <c r="K48" s="5">
        <v>19</v>
      </c>
      <c r="L48" s="5">
        <v>522</v>
      </c>
      <c r="M48" s="16">
        <v>3244</v>
      </c>
    </row>
    <row r="49" customHeight="1" spans="1:21">
      <c r="A49" s="17">
        <v>46023</v>
      </c>
      <c r="B49" s="5">
        <v>3280</v>
      </c>
      <c r="C49" s="5">
        <v>611</v>
      </c>
      <c r="D49" s="5">
        <v>208</v>
      </c>
      <c r="E49" s="5">
        <v>119</v>
      </c>
      <c r="F49" s="16">
        <v>2342</v>
      </c>
      <c r="G49" s="11"/>
      <c r="H49" s="17">
        <v>46023</v>
      </c>
      <c r="I49" s="5">
        <v>2500</v>
      </c>
      <c r="J49" s="5">
        <v>314</v>
      </c>
      <c r="K49" s="5">
        <v>15</v>
      </c>
      <c r="L49" s="5">
        <v>326</v>
      </c>
      <c r="M49" s="16">
        <v>1845</v>
      </c>
    </row>
    <row r="50" customHeight="1" spans="1:21">
      <c r="A50" s="17">
        <v>46054</v>
      </c>
      <c r="B50" s="5">
        <v>3660</v>
      </c>
      <c r="C50" s="5">
        <v>690</v>
      </c>
      <c r="D50" s="5">
        <v>390</v>
      </c>
      <c r="E50" s="5">
        <v>178</v>
      </c>
      <c r="F50" s="16">
        <v>2402</v>
      </c>
      <c r="G50" s="11"/>
      <c r="H50" s="17">
        <v>46054</v>
      </c>
      <c r="I50" s="5">
        <v>2310</v>
      </c>
      <c r="J50" s="5">
        <v>258</v>
      </c>
      <c r="K50" s="5">
        <v>17</v>
      </c>
      <c r="L50" s="5">
        <v>373</v>
      </c>
      <c r="M50" s="16">
        <v>1662</v>
      </c>
    </row>
    <row r="51" customHeight="1" spans="1:21">
      <c r="A51" s="17">
        <v>46082</v>
      </c>
      <c r="B51" s="5">
        <v>4470</v>
      </c>
      <c r="C51" s="5">
        <v>649</v>
      </c>
      <c r="D51" s="5">
        <v>766</v>
      </c>
      <c r="E51" s="5">
        <v>189</v>
      </c>
      <c r="F51" s="16">
        <v>2866</v>
      </c>
      <c r="G51" s="11"/>
      <c r="H51" s="17">
        <v>46082</v>
      </c>
      <c r="I51" s="5">
        <v>2810</v>
      </c>
      <c r="J51" s="5">
        <v>298</v>
      </c>
      <c r="K51" s="5">
        <v>207</v>
      </c>
      <c r="L51" s="5">
        <v>450</v>
      </c>
      <c r="M51" s="16">
        <v>1855</v>
      </c>
    </row>
    <row r="52" customHeight="1" spans="1:21">
      <c r="A52" s="17">
        <v>46113</v>
      </c>
      <c r="B52" s="5">
        <v>5280</v>
      </c>
      <c r="C52" s="5">
        <v>498</v>
      </c>
      <c r="D52" s="5">
        <v>1840</v>
      </c>
      <c r="E52" s="5">
        <v>136</v>
      </c>
      <c r="F52" s="16">
        <v>2806</v>
      </c>
      <c r="G52" s="11"/>
      <c r="H52" s="17">
        <v>46113</v>
      </c>
      <c r="I52" s="5">
        <v>2540</v>
      </c>
      <c r="J52" s="5">
        <v>207</v>
      </c>
      <c r="K52" s="5">
        <v>100</v>
      </c>
      <c r="L52" s="5">
        <v>378</v>
      </c>
      <c r="M52" s="16">
        <v>1855</v>
      </c>
    </row>
    <row r="53" customHeight="1" spans="1:21">
      <c r="A53" s="17">
        <v>46143</v>
      </c>
      <c r="B53" s="5">
        <v>5600</v>
      </c>
      <c r="C53" s="5">
        <v>429</v>
      </c>
      <c r="D53" s="5">
        <v>1880</v>
      </c>
      <c r="E53" s="5">
        <v>177</v>
      </c>
      <c r="F53" s="16">
        <v>3114</v>
      </c>
      <c r="G53" s="11"/>
      <c r="H53" s="17">
        <v>46143</v>
      </c>
      <c r="I53" s="5">
        <v>3520</v>
      </c>
      <c r="J53" s="5">
        <v>250</v>
      </c>
      <c r="K53" s="5">
        <v>101</v>
      </c>
      <c r="L53" s="5">
        <v>465</v>
      </c>
      <c r="M53" s="16">
        <v>2704</v>
      </c>
    </row>
    <row r="54" customHeight="1" spans="1:21">
      <c r="A54" s="17">
        <v>46174</v>
      </c>
      <c r="B54" s="5">
        <v>7040</v>
      </c>
      <c r="C54" s="18">
        <v>352</v>
      </c>
      <c r="D54" s="5">
        <v>3900</v>
      </c>
      <c r="E54" s="5">
        <v>116</v>
      </c>
      <c r="F54" s="16">
        <v>2672</v>
      </c>
      <c r="G54" s="11"/>
      <c r="H54" s="17">
        <v>46174</v>
      </c>
      <c r="I54" s="5">
        <v>3460</v>
      </c>
      <c r="J54" s="5">
        <v>320</v>
      </c>
      <c r="K54" s="13">
        <v>112</v>
      </c>
      <c r="L54" s="5">
        <v>435</v>
      </c>
      <c r="M54" s="16">
        <v>2593</v>
      </c>
      <c r="N54" s="11"/>
      <c r="O54" s="11"/>
    </row>
    <row r="55" customHeight="1" spans="1:2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27.75" customHeight="1" spans="1:21">
      <c r="A56" s="12" t="s">
        <v>50</v>
      </c>
      <c r="B56" s="13" t="s">
        <v>60</v>
      </c>
      <c r="C56" s="13" t="s">
        <v>61</v>
      </c>
      <c r="D56" s="13" t="s">
        <v>62</v>
      </c>
      <c r="E56" s="13" t="s">
        <v>63</v>
      </c>
      <c r="F56" s="14" t="s">
        <v>64</v>
      </c>
      <c r="G56" s="11"/>
      <c r="H56" s="12" t="s">
        <v>51</v>
      </c>
      <c r="I56" s="13" t="s">
        <v>60</v>
      </c>
      <c r="J56" s="13" t="s">
        <v>61</v>
      </c>
      <c r="K56" s="13" t="s">
        <v>62</v>
      </c>
      <c r="L56" s="13" t="s">
        <v>63</v>
      </c>
      <c r="M56" s="14" t="s">
        <v>64</v>
      </c>
      <c r="P56" s="11"/>
      <c r="Q56" s="11"/>
    </row>
    <row r="57" customHeight="1" spans="1:21">
      <c r="A57" s="17">
        <v>45778</v>
      </c>
      <c r="B57" s="5">
        <v>59</v>
      </c>
      <c r="C57" s="18">
        <v>29</v>
      </c>
      <c r="D57" s="5"/>
      <c r="E57" s="5">
        <v>2</v>
      </c>
      <c r="F57" s="16">
        <v>28</v>
      </c>
      <c r="G57" s="11"/>
      <c r="H57" s="17">
        <v>45778</v>
      </c>
      <c r="I57" s="5">
        <v>307</v>
      </c>
      <c r="J57" s="18">
        <v>46</v>
      </c>
      <c r="K57" s="5"/>
      <c r="L57" s="5">
        <v>9</v>
      </c>
      <c r="M57" s="16">
        <v>252</v>
      </c>
    </row>
    <row r="58" customHeight="1" spans="1:21">
      <c r="A58" s="17">
        <v>45809</v>
      </c>
      <c r="B58" s="5">
        <v>87</v>
      </c>
      <c r="C58" s="18">
        <v>47</v>
      </c>
      <c r="D58" s="5"/>
      <c r="E58" s="5">
        <v>5</v>
      </c>
      <c r="F58" s="16">
        <v>35</v>
      </c>
      <c r="H58" s="17">
        <v>45809</v>
      </c>
      <c r="I58" s="5">
        <v>460</v>
      </c>
      <c r="J58" s="18">
        <v>201</v>
      </c>
      <c r="K58" s="5"/>
      <c r="L58" s="5">
        <v>4</v>
      </c>
      <c r="M58" s="16">
        <v>255</v>
      </c>
    </row>
    <row r="59" customHeight="1" spans="1:21">
      <c r="A59" s="17">
        <v>45839</v>
      </c>
      <c r="B59" s="5">
        <v>112</v>
      </c>
      <c r="C59" s="18">
        <v>47</v>
      </c>
      <c r="D59" s="5"/>
      <c r="E59" s="5">
        <v>16</v>
      </c>
      <c r="F59" s="16">
        <v>49</v>
      </c>
      <c r="H59" s="17">
        <v>45839</v>
      </c>
      <c r="I59" s="5">
        <v>537</v>
      </c>
      <c r="J59" s="18">
        <v>197</v>
      </c>
      <c r="K59" s="5"/>
      <c r="L59" s="5">
        <v>20</v>
      </c>
      <c r="M59" s="16">
        <v>320</v>
      </c>
    </row>
    <row r="60" customHeight="1" spans="1:21">
      <c r="A60" s="17">
        <v>45870</v>
      </c>
      <c r="B60" s="5">
        <v>115</v>
      </c>
      <c r="C60" s="18">
        <v>27</v>
      </c>
      <c r="D60" s="5"/>
      <c r="E60" s="5">
        <v>37</v>
      </c>
      <c r="F60" s="16">
        <v>51</v>
      </c>
      <c r="H60" s="17">
        <v>45870</v>
      </c>
      <c r="I60" s="5">
        <v>769</v>
      </c>
      <c r="J60" s="18">
        <v>246</v>
      </c>
      <c r="K60" s="5"/>
      <c r="L60" s="5">
        <v>39</v>
      </c>
      <c r="M60" s="16">
        <v>484</v>
      </c>
    </row>
    <row r="61" customHeight="1" spans="1:21">
      <c r="A61" s="17">
        <v>45901</v>
      </c>
      <c r="B61" s="5">
        <v>149</v>
      </c>
      <c r="C61" s="18">
        <v>45</v>
      </c>
      <c r="D61" s="5"/>
      <c r="E61" s="5">
        <v>28</v>
      </c>
      <c r="F61" s="16">
        <v>76</v>
      </c>
      <c r="H61" s="17">
        <v>45901</v>
      </c>
      <c r="I61" s="5">
        <v>1310</v>
      </c>
      <c r="J61" s="18">
        <v>666</v>
      </c>
      <c r="K61" s="5"/>
      <c r="L61" s="5">
        <v>12</v>
      </c>
      <c r="M61" s="16">
        <v>632</v>
      </c>
    </row>
    <row r="62" customHeight="1" spans="1:21">
      <c r="A62" s="17">
        <v>45931</v>
      </c>
      <c r="B62" s="5">
        <v>157</v>
      </c>
      <c r="C62" s="18">
        <v>58</v>
      </c>
      <c r="D62" s="5">
        <v>0</v>
      </c>
      <c r="E62" s="5">
        <v>23</v>
      </c>
      <c r="F62" s="16">
        <v>76</v>
      </c>
      <c r="H62" s="17">
        <v>45931</v>
      </c>
      <c r="I62" s="5">
        <v>2110</v>
      </c>
      <c r="J62" s="18">
        <v>1190</v>
      </c>
      <c r="K62" s="5">
        <v>4</v>
      </c>
      <c r="L62" s="5">
        <v>21</v>
      </c>
      <c r="M62" s="16">
        <v>895</v>
      </c>
      <c r="N62" s="11"/>
      <c r="O62" s="11"/>
    </row>
    <row r="63" customHeight="1" spans="1:21">
      <c r="A63" s="17">
        <v>45962</v>
      </c>
      <c r="B63" s="5">
        <v>242</v>
      </c>
      <c r="C63" s="5">
        <v>110</v>
      </c>
      <c r="D63" s="13">
        <v>2</v>
      </c>
      <c r="E63" s="5">
        <v>5</v>
      </c>
      <c r="F63" s="16">
        <v>125</v>
      </c>
      <c r="G63" s="11"/>
      <c r="H63" s="17">
        <v>45962</v>
      </c>
      <c r="I63" s="5">
        <v>4360</v>
      </c>
      <c r="J63" s="18">
        <v>2720</v>
      </c>
      <c r="K63" s="5">
        <v>16</v>
      </c>
      <c r="L63" s="5">
        <v>44</v>
      </c>
      <c r="M63" s="16">
        <v>1580</v>
      </c>
      <c r="N63" s="11"/>
      <c r="O63" s="13"/>
      <c r="P63" s="5"/>
      <c r="Q63" s="18"/>
      <c r="R63" s="5"/>
      <c r="S63" s="5"/>
      <c r="T63" s="16"/>
      <c r="U63" s="7"/>
    </row>
    <row r="64" customHeight="1" spans="1:21">
      <c r="A64" s="17">
        <v>45992</v>
      </c>
      <c r="B64" s="5">
        <v>263</v>
      </c>
      <c r="C64" s="5">
        <v>41</v>
      </c>
      <c r="D64" s="13">
        <v>141</v>
      </c>
      <c r="E64" s="5">
        <v>11</v>
      </c>
      <c r="F64" s="16">
        <v>70</v>
      </c>
      <c r="G64" s="11"/>
      <c r="H64" s="17">
        <v>45992</v>
      </c>
      <c r="I64" s="5">
        <v>4770</v>
      </c>
      <c r="J64" s="18">
        <v>2870</v>
      </c>
      <c r="K64" s="5">
        <v>71</v>
      </c>
      <c r="L64" s="5">
        <v>137</v>
      </c>
      <c r="M64" s="16">
        <v>1692</v>
      </c>
      <c r="N64" s="11"/>
      <c r="O64" s="13"/>
      <c r="P64" s="5"/>
      <c r="Q64" s="18"/>
      <c r="R64" s="5"/>
      <c r="S64" s="5"/>
      <c r="T64" s="16"/>
      <c r="U64" s="7"/>
    </row>
    <row r="65" customHeight="1" spans="1:13">
      <c r="A65" s="17">
        <v>46023</v>
      </c>
      <c r="B65" s="5">
        <v>98</v>
      </c>
      <c r="C65" s="18">
        <v>15</v>
      </c>
      <c r="D65" s="5">
        <v>35</v>
      </c>
      <c r="E65" s="5">
        <v>8</v>
      </c>
      <c r="F65" s="16">
        <v>40</v>
      </c>
      <c r="G65" s="11"/>
      <c r="H65" s="17">
        <v>46023</v>
      </c>
      <c r="I65" s="5">
        <v>2410</v>
      </c>
      <c r="J65" s="18">
        <v>1350</v>
      </c>
      <c r="K65" s="5">
        <v>51</v>
      </c>
      <c r="L65" s="5">
        <v>148</v>
      </c>
      <c r="M65" s="16">
        <v>861</v>
      </c>
    </row>
    <row r="66" customHeight="1" spans="1:13">
      <c r="A66" s="17">
        <v>46054</v>
      </c>
      <c r="B66" s="5">
        <v>240</v>
      </c>
      <c r="C66" s="18">
        <v>36</v>
      </c>
      <c r="D66" s="5">
        <v>8</v>
      </c>
      <c r="E66" s="5">
        <v>89</v>
      </c>
      <c r="F66" s="16">
        <v>107</v>
      </c>
      <c r="G66" s="11"/>
      <c r="H66" s="17">
        <v>46054</v>
      </c>
      <c r="I66" s="5">
        <v>2140</v>
      </c>
      <c r="J66" s="18">
        <v>1210</v>
      </c>
      <c r="K66" s="5">
        <v>76</v>
      </c>
      <c r="L66" s="5">
        <v>155</v>
      </c>
      <c r="M66" s="16">
        <v>699</v>
      </c>
    </row>
    <row r="67" customHeight="1" spans="1:13">
      <c r="A67" s="17">
        <v>46082</v>
      </c>
      <c r="B67" s="5">
        <v>386</v>
      </c>
      <c r="C67" s="5">
        <v>48</v>
      </c>
      <c r="D67" s="5">
        <v>2</v>
      </c>
      <c r="E67" s="5">
        <v>89</v>
      </c>
      <c r="F67" s="16">
        <v>247</v>
      </c>
      <c r="G67" s="11"/>
      <c r="H67" s="17">
        <v>46082</v>
      </c>
      <c r="I67" s="5">
        <v>2120</v>
      </c>
      <c r="J67" s="5">
        <v>1030</v>
      </c>
      <c r="K67" s="5">
        <v>147</v>
      </c>
      <c r="L67" s="5">
        <v>157</v>
      </c>
      <c r="M67" s="16">
        <v>786</v>
      </c>
    </row>
    <row r="68" customHeight="1" spans="1:13">
      <c r="A68" s="17">
        <v>46113</v>
      </c>
      <c r="B68" s="5">
        <v>380</v>
      </c>
      <c r="C68" s="5">
        <v>36</v>
      </c>
      <c r="D68" s="5">
        <v>7</v>
      </c>
      <c r="E68" s="5">
        <v>58</v>
      </c>
      <c r="F68" s="16">
        <v>279</v>
      </c>
      <c r="G68" s="11"/>
      <c r="H68" s="17">
        <v>46113</v>
      </c>
      <c r="I68" s="5">
        <v>1880</v>
      </c>
      <c r="J68" s="5">
        <v>685</v>
      </c>
      <c r="K68" s="5">
        <v>150</v>
      </c>
      <c r="L68" s="5">
        <v>231</v>
      </c>
      <c r="M68" s="16">
        <v>814</v>
      </c>
    </row>
    <row r="69" customHeight="1" spans="1:13">
      <c r="A69" s="17">
        <v>46143</v>
      </c>
      <c r="B69" s="5">
        <v>606</v>
      </c>
      <c r="C69" s="5">
        <v>34</v>
      </c>
      <c r="D69" s="5">
        <v>10</v>
      </c>
      <c r="E69" s="5">
        <v>126</v>
      </c>
      <c r="F69" s="16">
        <v>436</v>
      </c>
      <c r="G69" s="11"/>
      <c r="H69" s="17">
        <v>46143</v>
      </c>
      <c r="I69" s="5">
        <v>2750</v>
      </c>
      <c r="J69" s="5">
        <v>717</v>
      </c>
      <c r="K69" s="5">
        <v>192</v>
      </c>
      <c r="L69" s="5">
        <v>361</v>
      </c>
      <c r="M69" s="16">
        <v>1480</v>
      </c>
    </row>
    <row r="70" customHeight="1" spans="1:13">
      <c r="A70" s="17">
        <v>46174</v>
      </c>
      <c r="B70" s="5">
        <v>874</v>
      </c>
      <c r="C70" s="18">
        <v>58</v>
      </c>
      <c r="D70" s="5">
        <v>74</v>
      </c>
      <c r="E70" s="5">
        <v>115</v>
      </c>
      <c r="F70" s="16">
        <v>627</v>
      </c>
      <c r="G70" s="11"/>
      <c r="H70" s="17">
        <v>46174</v>
      </c>
      <c r="I70" s="5">
        <v>2170</v>
      </c>
      <c r="J70" s="5">
        <v>521</v>
      </c>
      <c r="K70" s="13">
        <v>236</v>
      </c>
      <c r="L70" s="5">
        <v>173</v>
      </c>
      <c r="M70" s="16">
        <v>1240</v>
      </c>
    </row>
    <row r="72" ht="27.75" customHeight="1" spans="1:13">
      <c r="A72" s="12" t="s">
        <v>52</v>
      </c>
      <c r="B72" s="13" t="s">
        <v>60</v>
      </c>
      <c r="C72" s="13" t="s">
        <v>61</v>
      </c>
      <c r="D72" s="13" t="s">
        <v>62</v>
      </c>
      <c r="E72" s="13" t="s">
        <v>63</v>
      </c>
      <c r="F72" s="14" t="s">
        <v>64</v>
      </c>
      <c r="H72" s="12" t="s">
        <v>55</v>
      </c>
      <c r="I72" s="13" t="s">
        <v>60</v>
      </c>
      <c r="J72" s="13" t="s">
        <v>61</v>
      </c>
      <c r="K72" s="13" t="s">
        <v>62</v>
      </c>
      <c r="L72" s="13" t="s">
        <v>63</v>
      </c>
      <c r="M72" s="14" t="s">
        <v>64</v>
      </c>
    </row>
    <row r="73" customHeight="1" spans="1:13">
      <c r="A73" s="17">
        <v>45778</v>
      </c>
      <c r="B73" s="5">
        <v>447</v>
      </c>
      <c r="C73" s="18">
        <v>23</v>
      </c>
      <c r="D73" s="5"/>
      <c r="E73" s="5">
        <v>3</v>
      </c>
      <c r="F73" s="16">
        <v>421</v>
      </c>
      <c r="H73" s="17">
        <v>45778</v>
      </c>
      <c r="I73" s="5"/>
      <c r="J73" s="18"/>
      <c r="K73" s="5"/>
      <c r="L73" s="5"/>
      <c r="M73" s="16"/>
    </row>
    <row r="74" customHeight="1" spans="1:13">
      <c r="A74" s="17">
        <v>45809</v>
      </c>
      <c r="B74" s="5">
        <v>472</v>
      </c>
      <c r="C74" s="18">
        <v>115</v>
      </c>
      <c r="D74" s="5"/>
      <c r="E74" s="5">
        <v>5</v>
      </c>
      <c r="F74" s="16">
        <v>352</v>
      </c>
      <c r="H74" s="17">
        <v>45809</v>
      </c>
      <c r="I74" s="5"/>
      <c r="J74" s="18"/>
      <c r="K74" s="5"/>
      <c r="L74" s="5"/>
      <c r="M74" s="16"/>
    </row>
    <row r="75" customHeight="1" spans="1:13">
      <c r="A75" s="17">
        <v>45839</v>
      </c>
      <c r="B75" s="5">
        <v>577</v>
      </c>
      <c r="C75" s="18">
        <v>95</v>
      </c>
      <c r="D75" s="5"/>
      <c r="E75" s="5">
        <v>22</v>
      </c>
      <c r="F75" s="16">
        <v>460</v>
      </c>
      <c r="H75" s="17">
        <v>45839</v>
      </c>
      <c r="I75" s="5"/>
      <c r="J75" s="18"/>
      <c r="K75" s="5"/>
      <c r="L75" s="5"/>
      <c r="M75" s="16"/>
    </row>
    <row r="76" customHeight="1" spans="1:13">
      <c r="A76" s="17">
        <v>45870</v>
      </c>
      <c r="B76" s="5">
        <v>673</v>
      </c>
      <c r="C76" s="18">
        <v>80</v>
      </c>
      <c r="D76" s="5"/>
      <c r="E76" s="5">
        <v>39</v>
      </c>
      <c r="F76" s="16">
        <v>554</v>
      </c>
      <c r="H76" s="17">
        <v>45870</v>
      </c>
      <c r="I76" s="5"/>
      <c r="J76" s="18"/>
      <c r="K76" s="5"/>
      <c r="L76" s="5"/>
      <c r="M76" s="16"/>
    </row>
    <row r="77" customHeight="1" spans="1:13">
      <c r="A77" s="17">
        <v>45901</v>
      </c>
      <c r="B77" s="5">
        <v>658</v>
      </c>
      <c r="C77" s="18">
        <v>100</v>
      </c>
      <c r="D77" s="5"/>
      <c r="E77" s="5">
        <v>34</v>
      </c>
      <c r="F77" s="16">
        <v>524</v>
      </c>
      <c r="H77" s="17">
        <v>45901</v>
      </c>
      <c r="I77" s="5"/>
      <c r="J77" s="18"/>
      <c r="K77" s="5"/>
      <c r="L77" s="5"/>
      <c r="M77" s="16"/>
    </row>
    <row r="78" customHeight="1" spans="1:13">
      <c r="A78" s="17">
        <v>45931</v>
      </c>
      <c r="B78" s="5">
        <v>931</v>
      </c>
      <c r="C78" s="18">
        <v>165</v>
      </c>
      <c r="D78" s="5">
        <v>29</v>
      </c>
      <c r="E78" s="5">
        <v>22</v>
      </c>
      <c r="F78" s="16">
        <v>715</v>
      </c>
      <c r="H78" s="17">
        <v>45931</v>
      </c>
      <c r="I78" s="5"/>
      <c r="J78" s="18"/>
      <c r="K78" s="5"/>
      <c r="L78" s="5"/>
      <c r="M78" s="16"/>
    </row>
    <row r="79" customHeight="1" spans="1:13">
      <c r="A79" s="17">
        <v>45962</v>
      </c>
      <c r="B79" s="5">
        <v>1810</v>
      </c>
      <c r="C79" s="5">
        <v>282</v>
      </c>
      <c r="D79" s="13">
        <v>140</v>
      </c>
      <c r="E79" s="5">
        <v>33</v>
      </c>
      <c r="F79" s="16">
        <v>1355</v>
      </c>
      <c r="H79" s="17">
        <v>45962</v>
      </c>
      <c r="I79" s="5"/>
      <c r="J79" s="5"/>
      <c r="K79" s="13"/>
      <c r="L79" s="5"/>
      <c r="M79" s="16"/>
    </row>
    <row r="80" customHeight="1" spans="1:13">
      <c r="A80" s="17">
        <v>45992</v>
      </c>
      <c r="B80" s="5">
        <v>2250</v>
      </c>
      <c r="C80" s="5">
        <v>321</v>
      </c>
      <c r="D80" s="13">
        <v>377</v>
      </c>
      <c r="E80" s="5">
        <v>59</v>
      </c>
      <c r="F80" s="16">
        <v>1493</v>
      </c>
      <c r="H80" s="17">
        <v>45992</v>
      </c>
      <c r="I80" s="5"/>
      <c r="J80" s="5"/>
      <c r="K80" s="13"/>
      <c r="L80" s="5"/>
      <c r="M80" s="16"/>
    </row>
    <row r="81" customHeight="1" spans="1:13">
      <c r="A81" s="17">
        <v>46023</v>
      </c>
      <c r="B81" s="5">
        <v>1350</v>
      </c>
      <c r="C81" s="18">
        <v>114</v>
      </c>
      <c r="D81" s="5">
        <v>543</v>
      </c>
      <c r="E81" s="5">
        <v>49</v>
      </c>
      <c r="F81" s="16">
        <v>644</v>
      </c>
      <c r="H81" s="17">
        <v>46023</v>
      </c>
      <c r="I81" s="5"/>
      <c r="J81" s="18"/>
      <c r="K81" s="5"/>
      <c r="L81" s="5"/>
      <c r="M81" s="16"/>
    </row>
    <row r="82" customHeight="1" spans="1:13">
      <c r="A82" s="17">
        <v>46054</v>
      </c>
      <c r="B82" s="5">
        <v>1390</v>
      </c>
      <c r="C82" s="18">
        <v>66</v>
      </c>
      <c r="D82" s="5">
        <v>696</v>
      </c>
      <c r="E82" s="5">
        <v>45</v>
      </c>
      <c r="F82" s="16">
        <v>583</v>
      </c>
      <c r="H82" s="17">
        <v>46054</v>
      </c>
      <c r="I82" s="5"/>
      <c r="J82" s="18"/>
      <c r="K82" s="5"/>
      <c r="L82" s="5"/>
      <c r="M82" s="16"/>
    </row>
    <row r="83" customHeight="1" spans="1:13">
      <c r="A83" s="17">
        <v>46082</v>
      </c>
      <c r="B83" s="5">
        <v>1530</v>
      </c>
      <c r="C83" s="5">
        <v>63</v>
      </c>
      <c r="D83" s="5">
        <v>761</v>
      </c>
      <c r="E83" s="5">
        <v>28</v>
      </c>
      <c r="F83" s="16">
        <v>678</v>
      </c>
      <c r="H83" s="17">
        <v>46082</v>
      </c>
      <c r="I83" s="5"/>
      <c r="J83" s="5"/>
      <c r="K83" s="5"/>
      <c r="L83" s="5"/>
      <c r="M83" s="16"/>
    </row>
    <row r="84" customHeight="1" spans="1:13">
      <c r="A84" s="17">
        <v>46113</v>
      </c>
      <c r="B84" s="5">
        <v>1850</v>
      </c>
      <c r="C84" s="5">
        <v>43</v>
      </c>
      <c r="D84" s="5">
        <v>1050</v>
      </c>
      <c r="E84" s="5">
        <v>55</v>
      </c>
      <c r="F84" s="16">
        <v>702</v>
      </c>
      <c r="H84" s="17">
        <v>46113</v>
      </c>
      <c r="I84" s="5"/>
      <c r="J84" s="5"/>
      <c r="K84" s="5"/>
      <c r="L84" s="5"/>
      <c r="M84" s="16"/>
    </row>
    <row r="85" customHeight="1" spans="1:13">
      <c r="A85" s="17">
        <v>46143</v>
      </c>
      <c r="B85" s="5">
        <v>2260</v>
      </c>
      <c r="C85" s="5">
        <v>66</v>
      </c>
      <c r="D85" s="5">
        <v>1310</v>
      </c>
      <c r="E85" s="5">
        <v>35</v>
      </c>
      <c r="F85" s="16">
        <v>849</v>
      </c>
      <c r="H85" s="17">
        <v>46143</v>
      </c>
      <c r="I85" s="5"/>
      <c r="J85" s="5"/>
      <c r="K85" s="5"/>
      <c r="L85" s="5"/>
      <c r="M85" s="16"/>
    </row>
    <row r="86" customHeight="1" spans="1:13">
      <c r="A86" s="17">
        <v>46174</v>
      </c>
      <c r="B86" s="5">
        <v>1980</v>
      </c>
      <c r="C86" s="18">
        <v>67</v>
      </c>
      <c r="D86" s="5">
        <v>1220</v>
      </c>
      <c r="E86" s="5">
        <v>43</v>
      </c>
      <c r="F86" s="16">
        <v>650</v>
      </c>
      <c r="G86" s="11"/>
      <c r="H86" s="17">
        <v>46174</v>
      </c>
      <c r="I86" s="5">
        <v>352</v>
      </c>
      <c r="J86" s="5">
        <v>2</v>
      </c>
      <c r="K86" s="13">
        <v>0</v>
      </c>
      <c r="L86" s="5">
        <v>178</v>
      </c>
      <c r="M86" s="16">
        <v>172</v>
      </c>
    </row>
    <row r="103" hidden="1" customHeight="1" spans="1:10">
      <c r="F103" s="19">
        <v>0</v>
      </c>
      <c r="G103" s="19">
        <v>-1</v>
      </c>
    </row>
    <row r="104" hidden="1" customHeight="1" spans="1:10">
      <c r="A104" s="19" t="s">
        <v>65</v>
      </c>
      <c r="B104" s="19" t="s">
        <v>45</v>
      </c>
      <c r="C104" s="19" t="s">
        <v>46</v>
      </c>
      <c r="D104" s="19" t="s">
        <v>47</v>
      </c>
      <c r="E104" s="19" t="s">
        <v>48</v>
      </c>
      <c r="F104" s="19" t="e">
        <v>#VALUE!</v>
      </c>
      <c r="G104" s="19" t="e">
        <v>#VALUE!</v>
      </c>
      <c r="H104" s="19" t="s">
        <v>51</v>
      </c>
      <c r="I104" s="20" t="s">
        <v>52</v>
      </c>
      <c r="J104" s="20" t="s">
        <v>43</v>
      </c>
    </row>
    <row r="105" hidden="1" customHeight="1" spans="1:10">
      <c r="A105" s="19" t="s">
        <v>66</v>
      </c>
      <c r="B105" s="19">
        <v>13480</v>
      </c>
      <c r="C105" s="19">
        <v>10900</v>
      </c>
      <c r="D105" s="19">
        <v>4634</v>
      </c>
      <c r="E105" s="19">
        <v>5978</v>
      </c>
      <c r="F105" s="19">
        <v>-8032</v>
      </c>
      <c r="G105" s="19" t="e">
        <v>#VALUE!</v>
      </c>
      <c r="I105" s="20"/>
      <c r="J105" s="20">
        <v>26960</v>
      </c>
    </row>
    <row r="106" hidden="1" customHeight="1" spans="1:10">
      <c r="A106" s="19" t="s">
        <v>67</v>
      </c>
      <c r="B106" s="19">
        <v>14178</v>
      </c>
      <c r="C106" s="19">
        <v>12952</v>
      </c>
      <c r="D106" s="19">
        <v>4268</v>
      </c>
      <c r="E106" s="19">
        <v>5627</v>
      </c>
      <c r="F106" s="19">
        <v>-8669</v>
      </c>
      <c r="G106" s="19">
        <v>0.0793077689243028</v>
      </c>
      <c r="I106" s="20"/>
      <c r="J106" s="20">
        <v>28356</v>
      </c>
    </row>
    <row r="107" hidden="1" customHeight="1" spans="1:10">
      <c r="A107" s="19" t="s">
        <v>68</v>
      </c>
      <c r="B107" s="19">
        <v>10450</v>
      </c>
      <c r="C107" s="19">
        <v>11674</v>
      </c>
      <c r="D107" s="19">
        <v>3711</v>
      </c>
      <c r="E107" s="19">
        <v>6314</v>
      </c>
      <c r="F107" s="19">
        <v>-11249</v>
      </c>
      <c r="G107" s="19">
        <v>0.297612181335794</v>
      </c>
      <c r="H107" s="19">
        <v>1436</v>
      </c>
      <c r="I107" s="20">
        <v>1538</v>
      </c>
      <c r="J107" s="20">
        <v>23874.2976121813</v>
      </c>
    </row>
    <row r="108" hidden="1" customHeight="1" spans="1:10">
      <c r="A108" s="19" t="s">
        <v>69</v>
      </c>
      <c r="B108" s="19">
        <v>15900</v>
      </c>
      <c r="C108" s="19">
        <v>28340</v>
      </c>
      <c r="D108" s="19">
        <v>6898</v>
      </c>
      <c r="E108" s="19">
        <v>13136</v>
      </c>
      <c r="F108" s="19">
        <v>-32474</v>
      </c>
      <c r="G108" s="19">
        <v>1.88683438527869</v>
      </c>
      <c r="H108" s="19">
        <v>4167</v>
      </c>
      <c r="I108" s="20">
        <v>3563</v>
      </c>
      <c r="J108" s="20">
        <v>39531.8868343853</v>
      </c>
    </row>
    <row r="109" hidden="1" customHeight="1" spans="1:10">
      <c r="A109" s="19" t="s">
        <v>70</v>
      </c>
      <c r="B109" s="19">
        <v>0.521531100478469</v>
      </c>
      <c r="C109" s="19">
        <v>1.42761692650334</v>
      </c>
      <c r="D109" s="19">
        <v>0.858798167609809</v>
      </c>
      <c r="E109" s="19">
        <v>1.08045612923662</v>
      </c>
      <c r="F109" s="19">
        <v>-2.8453401228713</v>
      </c>
      <c r="G109" s="19">
        <v>-0.999912380977925</v>
      </c>
      <c r="H109" s="19">
        <v>1.90181058495822</v>
      </c>
      <c r="I109" s="21">
        <v>1.31664499349805</v>
      </c>
      <c r="J109" s="21">
        <v>0.655834549629431</v>
      </c>
    </row>
    <row r="110" hidden="1" customHeight="1" spans="1:10">
      <c r="F110" s="19">
        <v>0</v>
      </c>
      <c r="G110" s="19">
        <v>-1</v>
      </c>
    </row>
    <row r="111" hidden="1" customHeight="1" spans="1:10">
      <c r="F111" s="19">
        <v>0</v>
      </c>
      <c r="G111" s="19" t="e">
        <v>#DIV/0!</v>
      </c>
    </row>
    <row r="112" hidden="1" customHeight="1" spans="1:10">
      <c r="A112" s="19" t="s">
        <v>71</v>
      </c>
      <c r="B112" s="19" t="s">
        <v>45</v>
      </c>
      <c r="C112" s="19" t="s">
        <v>46</v>
      </c>
      <c r="D112" s="19" t="s">
        <v>47</v>
      </c>
      <c r="E112" s="19" t="s">
        <v>48</v>
      </c>
      <c r="F112" s="19" t="e">
        <v>#VALUE!</v>
      </c>
      <c r="G112" s="19" t="e">
        <v>#VALUE!</v>
      </c>
      <c r="H112" s="19" t="s">
        <v>51</v>
      </c>
      <c r="I112" s="20" t="s">
        <v>52</v>
      </c>
      <c r="J112" s="20" t="s">
        <v>43</v>
      </c>
    </row>
    <row r="113" hidden="1" customHeight="1" spans="1:10">
      <c r="A113" s="19" t="s">
        <v>66</v>
      </c>
      <c r="B113" s="19">
        <v>45600</v>
      </c>
      <c r="C113" s="19">
        <v>317000</v>
      </c>
      <c r="D113" s="19">
        <v>7540</v>
      </c>
      <c r="E113" s="19">
        <v>8830</v>
      </c>
      <c r="F113" s="19">
        <v>-287770</v>
      </c>
      <c r="G113" s="19" t="e">
        <v>#VALUE!</v>
      </c>
      <c r="I113" s="20"/>
      <c r="J113" s="20">
        <v>91200</v>
      </c>
    </row>
    <row r="114" hidden="1" customHeight="1" spans="1:10">
      <c r="A114" s="19" t="s">
        <v>67</v>
      </c>
      <c r="B114" s="19">
        <v>63900</v>
      </c>
      <c r="C114" s="19">
        <v>319200</v>
      </c>
      <c r="D114" s="19">
        <v>7610</v>
      </c>
      <c r="E114" s="19">
        <v>8870</v>
      </c>
      <c r="F114" s="19">
        <v>-271780</v>
      </c>
      <c r="G114" s="19">
        <v>-0.0555652083260938</v>
      </c>
      <c r="I114" s="20"/>
      <c r="J114" s="20">
        <v>127800</v>
      </c>
    </row>
    <row r="115" hidden="1" customHeight="1" spans="1:10">
      <c r="A115" s="19" t="s">
        <v>68</v>
      </c>
      <c r="B115" s="19">
        <v>97800</v>
      </c>
      <c r="C115" s="19">
        <v>382000</v>
      </c>
      <c r="D115" s="19">
        <v>6560</v>
      </c>
      <c r="E115" s="19">
        <v>10200</v>
      </c>
      <c r="F115" s="19">
        <v>-300960</v>
      </c>
      <c r="G115" s="19">
        <v>0.107366252115682</v>
      </c>
      <c r="H115" s="19">
        <v>2616</v>
      </c>
      <c r="I115" s="20">
        <v>1908</v>
      </c>
      <c r="J115" s="20">
        <v>200124.107366252</v>
      </c>
    </row>
    <row r="116" hidden="1" customHeight="1" spans="1:10">
      <c r="A116" s="19" t="s">
        <v>69</v>
      </c>
      <c r="B116" s="19">
        <v>135700</v>
      </c>
      <c r="C116" s="19">
        <v>509000</v>
      </c>
      <c r="D116" s="19">
        <v>12360</v>
      </c>
      <c r="E116" s="19">
        <v>21250</v>
      </c>
      <c r="F116" s="19">
        <v>-406910</v>
      </c>
      <c r="G116" s="19">
        <v>0.352040138224349</v>
      </c>
      <c r="H116" s="19">
        <v>11240</v>
      </c>
      <c r="I116" s="20">
        <v>4991</v>
      </c>
      <c r="J116" s="20">
        <v>287631.352040138</v>
      </c>
    </row>
    <row r="117" hidden="1" customHeight="1" spans="1:10">
      <c r="A117" s="19" t="s">
        <v>70</v>
      </c>
      <c r="B117" s="19">
        <v>0.387525562372188</v>
      </c>
      <c r="C117" s="19">
        <v>0.332460732984293</v>
      </c>
      <c r="D117" s="19">
        <v>0.884146341463415</v>
      </c>
      <c r="E117" s="19">
        <v>1.08333333333333</v>
      </c>
      <c r="F117" s="19">
        <v>-1.91241484540885</v>
      </c>
      <c r="G117" s="19">
        <v>-0.999995300152748</v>
      </c>
      <c r="H117" s="19">
        <v>3.29663608562691</v>
      </c>
      <c r="I117" s="21">
        <v>1.61582809224319</v>
      </c>
      <c r="J117" s="21">
        <v>0.437264884403641</v>
      </c>
    </row>
    <row r="118" hidden="1" customHeight="1" spans="1:10">
      <c r="F118" s="19">
        <v>0</v>
      </c>
      <c r="G118" s="19">
        <v>-1</v>
      </c>
    </row>
    <row r="119" hidden="1" customHeight="1" spans="1:10">
      <c r="F119" s="19">
        <v>0</v>
      </c>
      <c r="G119" s="19" t="e">
        <v>#DIV/0!</v>
      </c>
    </row>
    <row r="120" hidden="1" customHeight="1" spans="1:10">
      <c r="A120" s="19" t="s">
        <v>61</v>
      </c>
      <c r="B120" s="19" t="s">
        <v>45</v>
      </c>
      <c r="C120" s="19" t="s">
        <v>46</v>
      </c>
      <c r="D120" s="19" t="s">
        <v>47</v>
      </c>
      <c r="E120" s="19" t="s">
        <v>48</v>
      </c>
      <c r="F120" s="19" t="e">
        <v>#VALUE!</v>
      </c>
      <c r="G120" s="19" t="e">
        <v>#VALUE!</v>
      </c>
      <c r="H120" s="19" t="s">
        <v>51</v>
      </c>
      <c r="I120" s="20" t="s">
        <v>52</v>
      </c>
      <c r="J120" s="20" t="s">
        <v>43</v>
      </c>
    </row>
    <row r="121" hidden="1" customHeight="1" spans="1:10">
      <c r="A121" s="19" t="s">
        <v>66</v>
      </c>
      <c r="B121" s="19">
        <v>3568</v>
      </c>
      <c r="C121" s="19">
        <v>11020</v>
      </c>
      <c r="D121" s="19">
        <v>2215</v>
      </c>
      <c r="E121" s="19">
        <v>2259</v>
      </c>
      <c r="F121" s="19">
        <v>-11926</v>
      </c>
      <c r="G121" s="19" t="e">
        <v>#VALUE!</v>
      </c>
      <c r="I121" s="20"/>
      <c r="J121" s="20">
        <v>7136</v>
      </c>
    </row>
    <row r="122" hidden="1" customHeight="1" spans="1:10">
      <c r="A122" s="19" t="s">
        <v>67</v>
      </c>
      <c r="B122" s="19">
        <v>4780</v>
      </c>
      <c r="C122" s="19">
        <v>16570</v>
      </c>
      <c r="D122" s="19">
        <v>2271</v>
      </c>
      <c r="E122" s="19">
        <v>2813</v>
      </c>
      <c r="F122" s="19">
        <v>-16874</v>
      </c>
      <c r="G122" s="19">
        <v>0.414891832969982</v>
      </c>
      <c r="I122" s="20"/>
      <c r="J122" s="20">
        <v>9560</v>
      </c>
    </row>
    <row r="123" hidden="1" customHeight="1" spans="1:10">
      <c r="A123" s="19" t="s">
        <v>68</v>
      </c>
      <c r="B123" s="19">
        <v>4035</v>
      </c>
      <c r="C123" s="19">
        <v>13040</v>
      </c>
      <c r="D123" s="19">
        <v>1937</v>
      </c>
      <c r="E123" s="19">
        <v>3272</v>
      </c>
      <c r="F123" s="19">
        <v>-14214</v>
      </c>
      <c r="G123" s="19">
        <v>-0.157638971198293</v>
      </c>
      <c r="H123" s="19">
        <v>1109</v>
      </c>
      <c r="I123" s="20">
        <v>275</v>
      </c>
      <c r="J123" s="20">
        <v>9453.8423610288</v>
      </c>
    </row>
    <row r="124" hidden="1" customHeight="1" spans="1:10">
      <c r="A124" s="19" t="s">
        <v>69</v>
      </c>
      <c r="B124" s="19">
        <v>5570</v>
      </c>
      <c r="C124" s="19">
        <v>26090</v>
      </c>
      <c r="D124" s="19">
        <v>3537</v>
      </c>
      <c r="E124" s="19">
        <v>6810</v>
      </c>
      <c r="F124" s="19">
        <v>-30867</v>
      </c>
      <c r="G124" s="19">
        <v>1.17159138877163</v>
      </c>
      <c r="H124" s="19">
        <v>6780</v>
      </c>
      <c r="I124" s="20">
        <v>768</v>
      </c>
      <c r="J124" s="20">
        <v>18689.1715913888</v>
      </c>
    </row>
    <row r="125" hidden="1" customHeight="1" spans="1:10">
      <c r="A125" s="19" t="s">
        <v>70</v>
      </c>
      <c r="B125" s="19">
        <v>0.380421313506815</v>
      </c>
      <c r="C125" s="19">
        <v>1.00076687116564</v>
      </c>
      <c r="D125" s="19">
        <v>0.826019617965927</v>
      </c>
      <c r="E125" s="19">
        <v>1.08129584352078</v>
      </c>
      <c r="F125" s="19">
        <v>-2.52766101914554</v>
      </c>
      <c r="G125" s="19">
        <v>-0.999918111218481</v>
      </c>
      <c r="H125" s="19">
        <v>5.11361587015329</v>
      </c>
      <c r="I125" s="21">
        <v>1.79272727272727</v>
      </c>
      <c r="J125" s="21">
        <v>0.976886315391761</v>
      </c>
    </row>
    <row r="126" hidden="1" customHeight="1" spans="1:10">
      <c r="F126" s="19">
        <v>0</v>
      </c>
      <c r="G126" s="19">
        <v>-1</v>
      </c>
    </row>
    <row r="127" hidden="1" customHeight="1" spans="1:10">
      <c r="F127" s="19">
        <v>0</v>
      </c>
      <c r="G127" s="19" t="e">
        <v>#DIV/0!</v>
      </c>
    </row>
    <row r="128" hidden="1" customHeight="1" spans="1:10">
      <c r="A128" s="19" t="s">
        <v>63</v>
      </c>
      <c r="B128" s="19" t="s">
        <v>45</v>
      </c>
      <c r="C128" s="19" t="s">
        <v>46</v>
      </c>
      <c r="D128" s="19" t="s">
        <v>47</v>
      </c>
      <c r="E128" s="19" t="s">
        <v>48</v>
      </c>
      <c r="F128" s="19" t="e">
        <v>#VALUE!</v>
      </c>
      <c r="G128" s="19" t="e">
        <v>#VALUE!</v>
      </c>
      <c r="H128" s="19" t="s">
        <v>51</v>
      </c>
      <c r="I128" s="20" t="s">
        <v>52</v>
      </c>
      <c r="J128" s="20" t="s">
        <v>43</v>
      </c>
    </row>
    <row r="129" hidden="1" customHeight="1" spans="1:10">
      <c r="A129" s="19" t="s">
        <v>66</v>
      </c>
      <c r="B129" s="19">
        <v>3012</v>
      </c>
      <c r="C129" s="19">
        <v>3580</v>
      </c>
      <c r="D129" s="19">
        <v>691</v>
      </c>
      <c r="E129" s="19">
        <v>593</v>
      </c>
      <c r="F129" s="19">
        <v>-1852</v>
      </c>
      <c r="G129" s="19" t="e">
        <v>#VALUE!</v>
      </c>
      <c r="I129" s="20"/>
      <c r="J129" s="20">
        <v>6024</v>
      </c>
    </row>
    <row r="130" hidden="1" customHeight="1" spans="1:10">
      <c r="A130" s="19" t="s">
        <v>67</v>
      </c>
      <c r="B130" s="19">
        <v>3172</v>
      </c>
      <c r="C130" s="19">
        <v>3478</v>
      </c>
      <c r="D130" s="19">
        <v>571</v>
      </c>
      <c r="E130" s="19">
        <v>430</v>
      </c>
      <c r="F130" s="19">
        <v>-1307</v>
      </c>
      <c r="G130" s="19">
        <v>-0.294276457883369</v>
      </c>
      <c r="I130" s="20"/>
      <c r="J130" s="20">
        <v>6344</v>
      </c>
    </row>
    <row r="131" hidden="1" customHeight="1" spans="1:10">
      <c r="A131" s="19" t="s">
        <v>68</v>
      </c>
      <c r="B131" s="19">
        <v>3515</v>
      </c>
      <c r="C131" s="19">
        <v>3286</v>
      </c>
      <c r="D131" s="19">
        <v>912</v>
      </c>
      <c r="E131" s="19">
        <v>614</v>
      </c>
      <c r="F131" s="19">
        <v>-1297</v>
      </c>
      <c r="G131" s="19">
        <v>-0.00765110941086458</v>
      </c>
      <c r="H131" s="19">
        <v>71</v>
      </c>
      <c r="I131" s="20">
        <v>95</v>
      </c>
      <c r="J131" s="20">
        <v>7195.99234889059</v>
      </c>
    </row>
    <row r="132" hidden="1" customHeight="1" spans="1:10">
      <c r="A132" s="19" t="s">
        <v>69</v>
      </c>
      <c r="B132" s="19">
        <v>3830</v>
      </c>
      <c r="C132" s="19">
        <v>4570</v>
      </c>
      <c r="D132" s="19">
        <v>1416</v>
      </c>
      <c r="E132" s="19">
        <v>821</v>
      </c>
      <c r="F132" s="19">
        <v>-2977</v>
      </c>
      <c r="G132" s="19">
        <v>1.29529683885891</v>
      </c>
      <c r="H132" s="19">
        <v>202</v>
      </c>
      <c r="I132" s="20">
        <v>114</v>
      </c>
      <c r="J132" s="20">
        <v>7977.29529683886</v>
      </c>
    </row>
    <row r="133" hidden="1" customHeight="1" spans="1:10">
      <c r="A133" s="19" t="s">
        <v>70</v>
      </c>
      <c r="B133" s="19">
        <v>0.0896159317211949</v>
      </c>
      <c r="C133" s="19">
        <v>0.390748630553865</v>
      </c>
      <c r="D133" s="19">
        <v>0.552631578947368</v>
      </c>
      <c r="E133" s="19">
        <v>0.337133550488599</v>
      </c>
      <c r="F133" s="19">
        <v>-1.19089782826864</v>
      </c>
      <c r="G133" s="19">
        <v>-0.99959996713864</v>
      </c>
      <c r="H133" s="19">
        <v>1.84507042253521</v>
      </c>
      <c r="I133" s="21">
        <v>0.2</v>
      </c>
      <c r="J133" s="21">
        <v>0.108574732999643</v>
      </c>
    </row>
    <row r="134" hidden="1" customHeight="1" spans="1:10">
      <c r="F134" s="19">
        <v>0</v>
      </c>
      <c r="G134" s="19">
        <v>-1</v>
      </c>
    </row>
    <row r="135" hidden="1" customHeight="1" spans="1:10">
      <c r="F135" s="19">
        <v>0</v>
      </c>
      <c r="G135" s="19" t="e">
        <v>#DIV/0!</v>
      </c>
    </row>
    <row r="136" hidden="1" customHeight="1" spans="1:10">
      <c r="A136" s="19" t="s">
        <v>72</v>
      </c>
      <c r="B136" s="19" t="s">
        <v>45</v>
      </c>
      <c r="C136" s="19" t="s">
        <v>46</v>
      </c>
      <c r="D136" s="19" t="s">
        <v>47</v>
      </c>
      <c r="E136" s="19" t="s">
        <v>48</v>
      </c>
      <c r="F136" s="19" t="e">
        <v>#VALUE!</v>
      </c>
      <c r="G136" s="19" t="e">
        <v>#VALUE!</v>
      </c>
      <c r="H136" s="19" t="s">
        <v>51</v>
      </c>
      <c r="I136" s="20" t="s">
        <v>52</v>
      </c>
      <c r="J136" s="20" t="s">
        <v>43</v>
      </c>
    </row>
    <row r="137" hidden="1" customHeight="1" spans="1:10">
      <c r="A137" s="19" t="s">
        <v>66</v>
      </c>
      <c r="B137" s="19">
        <v>25540</v>
      </c>
      <c r="C137" s="19">
        <v>291500</v>
      </c>
      <c r="F137" s="19">
        <v>-265960</v>
      </c>
      <c r="G137" s="19" t="e">
        <v>#VALUE!</v>
      </c>
      <c r="I137" s="20"/>
      <c r="J137" s="20">
        <v>51080</v>
      </c>
    </row>
    <row r="138" hidden="1" customHeight="1" spans="1:10">
      <c r="A138" s="19" t="s">
        <v>67</v>
      </c>
      <c r="B138" s="19">
        <v>41770</v>
      </c>
      <c r="C138" s="19">
        <v>286200</v>
      </c>
      <c r="F138" s="19">
        <v>-244430</v>
      </c>
      <c r="G138" s="19">
        <v>-0.0809520228605805</v>
      </c>
      <c r="I138" s="20"/>
      <c r="J138" s="20">
        <v>83540</v>
      </c>
    </row>
    <row r="139" hidden="1" customHeight="1" spans="1:10">
      <c r="A139" s="19" t="s">
        <v>68</v>
      </c>
      <c r="B139" s="19">
        <v>79800</v>
      </c>
      <c r="C139" s="19">
        <v>354000</v>
      </c>
      <c r="F139" s="19">
        <v>-274200</v>
      </c>
      <c r="G139" s="19">
        <v>0.121793560528577</v>
      </c>
      <c r="I139" s="20"/>
      <c r="J139" s="20">
        <v>159600.121793561</v>
      </c>
    </row>
    <row r="140" hidden="1" customHeight="1" spans="1:10">
      <c r="A140" s="19" t="s">
        <v>69</v>
      </c>
      <c r="B140" s="19">
        <v>110400</v>
      </c>
      <c r="C140" s="19">
        <v>450000</v>
      </c>
      <c r="D140" s="19">
        <v>509</v>
      </c>
      <c r="E140" s="19">
        <v>483</v>
      </c>
      <c r="F140" s="19">
        <v>-340592</v>
      </c>
      <c r="G140" s="19">
        <v>0.242129832239241</v>
      </c>
      <c r="H140" s="19">
        <v>91</v>
      </c>
      <c r="I140" s="20">
        <v>546</v>
      </c>
      <c r="J140" s="20">
        <v>221437.242129832</v>
      </c>
    </row>
    <row r="141" hidden="1" customHeight="1" spans="1:10">
      <c r="A141" s="19" t="s">
        <v>70</v>
      </c>
      <c r="B141" s="19">
        <v>0.383458646616541</v>
      </c>
      <c r="C141" s="19">
        <v>0.271186440677966</v>
      </c>
      <c r="D141" s="19" t="e">
        <v>#DIV/0!</v>
      </c>
      <c r="E141" s="19" t="e">
        <v>#DIV/0!</v>
      </c>
      <c r="F141" s="19" t="e">
        <v>#DIV/0!</v>
      </c>
      <c r="G141" s="19" t="e">
        <v>#DIV/0!</v>
      </c>
      <c r="H141" s="19" t="e">
        <v>#DIV/0!</v>
      </c>
      <c r="I141" s="21" t="e">
        <v>#DIV/0!</v>
      </c>
      <c r="J141" s="21">
        <v>0.387450333003234</v>
      </c>
    </row>
    <row r="142" hidden="1" customHeight="1" spans="1:10">
      <c r="F142" s="19">
        <v>0</v>
      </c>
      <c r="G142" s="19" t="e">
        <v>#DIV/0!</v>
      </c>
    </row>
    <row r="143" hidden="1" customHeight="1" spans="1:10">
      <c r="B143" s="19">
        <v>257510</v>
      </c>
      <c r="C143" s="19">
        <v>1381700</v>
      </c>
      <c r="D143" s="19">
        <v>509</v>
      </c>
      <c r="E143" s="19">
        <v>483</v>
      </c>
      <c r="F143" s="19">
        <v>-1125182</v>
      </c>
      <c r="G143" s="19" t="e">
        <v>#DIV/0!</v>
      </c>
      <c r="H143" s="19">
        <v>91</v>
      </c>
      <c r="I143" s="19">
        <v>546</v>
      </c>
      <c r="J143" s="19" t="e">
        <v>#DIV/0!</v>
      </c>
    </row>
    <row r="144" hidden="1" customHeight="1" spans="1:10">
      <c r="F144" s="19">
        <v>0</v>
      </c>
      <c r="G144" s="19">
        <v>-1</v>
      </c>
    </row>
    <row r="145" hidden="1" customHeight="1"/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48"/>
  <sheetViews>
    <sheetView workbookViewId="0">
      <selection activeCell="A1" sqref="A1"/>
    </sheetView>
  </sheetViews>
  <sheetFormatPr defaultColWidth="10" defaultRowHeight="16.5" customHeight="1"/>
  <cols>
    <col min="1" max="1" width="11.375" customWidth="1"/>
    <col min="2" max="2" width="20.875" customWidth="1"/>
    <col min="4" max="4" width="17.625" customWidth="1"/>
    <col min="6" max="6" width="21.5" customWidth="1"/>
    <col min="8" max="8" width="21.25" customWidth="1"/>
    <col min="10" max="10" width="17.375" customWidth="1"/>
    <col min="11" max="11" width="24.125" customWidth="1"/>
    <col min="12" max="12" width="15.625" customWidth="1"/>
  </cols>
  <sheetData>
    <row r="1" ht="20.25" customHeight="1" spans="1:12">
      <c r="A1" s="1" t="s">
        <v>73</v>
      </c>
      <c r="B1" s="2" t="s">
        <v>74</v>
      </c>
      <c r="C1" s="3" t="s">
        <v>54</v>
      </c>
      <c r="D1" s="2" t="s">
        <v>75</v>
      </c>
      <c r="E1" s="3" t="s">
        <v>54</v>
      </c>
      <c r="F1" s="2" t="s">
        <v>76</v>
      </c>
      <c r="G1" s="3" t="s">
        <v>54</v>
      </c>
      <c r="H1" s="2" t="s">
        <v>77</v>
      </c>
      <c r="I1" s="3" t="s">
        <v>54</v>
      </c>
      <c r="J1" s="1" t="s">
        <v>78</v>
      </c>
      <c r="K1" s="1" t="s">
        <v>79</v>
      </c>
      <c r="L1" s="4" t="s">
        <v>80</v>
      </c>
    </row>
    <row r="2" customHeight="1" spans="1:12">
      <c r="A2" s="5" t="s">
        <v>22</v>
      </c>
      <c r="B2" s="6">
        <v>43729.71</v>
      </c>
      <c r="C2" s="7">
        <v>0.0247</v>
      </c>
      <c r="D2" s="6">
        <v>957144.85</v>
      </c>
      <c r="E2" s="7">
        <v>0.5414</v>
      </c>
      <c r="F2" s="6">
        <v>2194.58</v>
      </c>
      <c r="G2" s="7">
        <v>0.0012</v>
      </c>
      <c r="H2" s="6">
        <v>35</v>
      </c>
      <c r="I2" s="7">
        <v>0</v>
      </c>
      <c r="J2" s="6">
        <v>1767757.35</v>
      </c>
      <c r="K2" s="7">
        <v>0.5674</v>
      </c>
      <c r="L2" s="6">
        <v>1531.49</v>
      </c>
    </row>
    <row r="3" customHeight="1" spans="1:12">
      <c r="A3" s="5" t="s">
        <v>23</v>
      </c>
      <c r="B3" s="6">
        <v>40496.96</v>
      </c>
      <c r="C3" s="7">
        <v>0.0233</v>
      </c>
      <c r="D3" s="6">
        <v>958140.47</v>
      </c>
      <c r="E3" s="7">
        <v>0.5522</v>
      </c>
      <c r="F3" s="6">
        <v>1278.4</v>
      </c>
      <c r="G3" s="7">
        <v>0.0007</v>
      </c>
      <c r="H3" s="6">
        <v>22</v>
      </c>
      <c r="I3" s="7">
        <v>0</v>
      </c>
      <c r="J3" s="6">
        <v>1735288.63</v>
      </c>
      <c r="K3" s="7">
        <v>0.5762</v>
      </c>
      <c r="L3" s="6">
        <v>1888.46</v>
      </c>
    </row>
    <row r="4" customHeight="1" spans="1:12">
      <c r="A4" s="5" t="s">
        <v>24</v>
      </c>
      <c r="B4" s="6">
        <v>54711.35</v>
      </c>
      <c r="C4" s="7">
        <v>0.0251</v>
      </c>
      <c r="D4" s="6">
        <v>1193423.02</v>
      </c>
      <c r="E4" s="7">
        <v>0.5475</v>
      </c>
      <c r="F4" s="6">
        <v>1420.29</v>
      </c>
      <c r="G4" s="7">
        <v>0.0007</v>
      </c>
      <c r="H4" s="6">
        <v>45.6</v>
      </c>
      <c r="I4" s="7">
        <v>0</v>
      </c>
      <c r="J4" s="6">
        <v>2179610.59</v>
      </c>
      <c r="K4" s="7">
        <v>0.5733</v>
      </c>
      <c r="L4" s="6">
        <v>5147.35</v>
      </c>
    </row>
    <row r="5" customHeight="1" spans="1:12">
      <c r="A5" s="5" t="s">
        <v>25</v>
      </c>
      <c r="B5" s="6">
        <v>38622.86</v>
      </c>
      <c r="C5" s="7">
        <v>0.0131</v>
      </c>
      <c r="D5" s="6">
        <v>1588312.76</v>
      </c>
      <c r="E5" s="7">
        <v>0.5399</v>
      </c>
      <c r="F5" s="6">
        <v>2197.96</v>
      </c>
      <c r="G5" s="7">
        <v>0.0007</v>
      </c>
      <c r="H5" s="6">
        <v>0</v>
      </c>
      <c r="I5" s="7">
        <v>0</v>
      </c>
      <c r="J5" s="6">
        <v>2941731.53</v>
      </c>
      <c r="K5" s="7">
        <v>0.5538</v>
      </c>
      <c r="L5" s="6">
        <v>11895.1</v>
      </c>
    </row>
    <row r="6" customHeight="1" spans="1:12">
      <c r="A6" s="5" t="s">
        <v>26</v>
      </c>
      <c r="B6" s="6">
        <v>37766.16</v>
      </c>
      <c r="C6" s="7">
        <v>0.0164</v>
      </c>
      <c r="D6" s="6">
        <v>974649.54</v>
      </c>
      <c r="E6" s="7">
        <v>0.4223</v>
      </c>
      <c r="F6" s="6">
        <v>2228.37</v>
      </c>
      <c r="G6" s="7">
        <v>0.001</v>
      </c>
      <c r="H6" s="6">
        <v>0</v>
      </c>
      <c r="I6" s="7">
        <v>0</v>
      </c>
      <c r="J6" s="6">
        <v>2308227.42</v>
      </c>
      <c r="K6" s="7">
        <v>0.4396</v>
      </c>
      <c r="L6" s="6">
        <v>10361.79</v>
      </c>
    </row>
    <row r="7" customHeight="1" spans="1:12">
      <c r="A7" s="5" t="s">
        <v>27</v>
      </c>
      <c r="B7" s="6">
        <v>20215.11</v>
      </c>
      <c r="C7" s="7">
        <v>0.0137</v>
      </c>
      <c r="D7" s="6">
        <v>471151.86</v>
      </c>
      <c r="E7" s="7">
        <v>0.3184</v>
      </c>
      <c r="F7" s="6">
        <v>1532.78</v>
      </c>
      <c r="G7" s="7">
        <v>0.001</v>
      </c>
      <c r="H7" s="6">
        <v>0</v>
      </c>
      <c r="I7" s="7">
        <v>0</v>
      </c>
      <c r="J7" s="6">
        <v>1479607.21</v>
      </c>
      <c r="K7" s="7">
        <v>0.3331</v>
      </c>
      <c r="L7" s="6">
        <v>5985.94</v>
      </c>
    </row>
    <row r="8" customHeight="1" spans="1:12">
      <c r="A8" s="5" t="s">
        <v>28</v>
      </c>
      <c r="B8" s="6">
        <v>19898.82</v>
      </c>
      <c r="C8" s="7">
        <v>0.0118</v>
      </c>
      <c r="D8" s="6">
        <v>437952.19</v>
      </c>
      <c r="E8" s="7">
        <v>0.2588</v>
      </c>
      <c r="F8" s="6">
        <v>2255.99</v>
      </c>
      <c r="G8" s="7">
        <v>0.0013</v>
      </c>
      <c r="H8" s="6">
        <v>0</v>
      </c>
      <c r="I8" s="7">
        <v>0</v>
      </c>
      <c r="J8" s="6">
        <v>1692307.12</v>
      </c>
      <c r="K8" s="7">
        <v>0.2719</v>
      </c>
      <c r="L8" s="6">
        <v>4932.98</v>
      </c>
    </row>
    <row r="9" customHeight="1" spans="1:12">
      <c r="A9" s="5" t="s">
        <v>29</v>
      </c>
      <c r="B9" s="6">
        <v>23178.26</v>
      </c>
      <c r="C9" s="7">
        <v>0.0128</v>
      </c>
      <c r="D9" s="6">
        <v>453262.69</v>
      </c>
      <c r="E9" s="7">
        <v>0.2496</v>
      </c>
      <c r="F9" s="6">
        <v>431.6</v>
      </c>
      <c r="G9" s="7">
        <v>0.0002</v>
      </c>
      <c r="H9" s="6">
        <v>0</v>
      </c>
      <c r="I9" s="7">
        <v>0</v>
      </c>
      <c r="J9" s="6">
        <v>1815602.28</v>
      </c>
      <c r="K9" s="7">
        <v>0.2627</v>
      </c>
      <c r="L9" s="6">
        <v>6710.54</v>
      </c>
    </row>
    <row r="10" customHeight="1" spans="1:12">
      <c r="A10" s="5" t="s">
        <v>30</v>
      </c>
      <c r="B10" s="6">
        <v>27256.98</v>
      </c>
      <c r="C10" s="7">
        <v>0.0123</v>
      </c>
      <c r="D10" s="6">
        <v>495309.63</v>
      </c>
      <c r="E10" s="7">
        <v>0.224</v>
      </c>
      <c r="F10" s="6">
        <v>707.1</v>
      </c>
      <c r="G10" s="7">
        <v>0.0003</v>
      </c>
      <c r="H10" s="6">
        <v>0</v>
      </c>
      <c r="I10" s="7">
        <v>0</v>
      </c>
      <c r="J10" s="6">
        <v>2211282.83</v>
      </c>
      <c r="K10" s="7">
        <v>0.2366</v>
      </c>
      <c r="L10" s="6">
        <v>8008.97</v>
      </c>
    </row>
    <row r="11" customHeight="1" spans="1:12">
      <c r="A11" s="5" t="s">
        <v>31</v>
      </c>
      <c r="B11" s="6">
        <v>49833.54</v>
      </c>
      <c r="C11" s="7">
        <v>0.0139</v>
      </c>
      <c r="D11" s="6">
        <v>595496.01</v>
      </c>
      <c r="E11" s="7">
        <v>0.1659</v>
      </c>
      <c r="F11" s="6">
        <v>862.99</v>
      </c>
      <c r="G11" s="7">
        <v>0.0002</v>
      </c>
      <c r="H11" s="6">
        <v>0</v>
      </c>
      <c r="I11" s="7">
        <v>0</v>
      </c>
      <c r="J11" s="6">
        <v>3590460.05</v>
      </c>
      <c r="K11" s="7">
        <v>0.18</v>
      </c>
      <c r="L11" s="6">
        <v>13542.36</v>
      </c>
    </row>
    <row r="12" customHeight="1" spans="1:12">
      <c r="A12" s="5" t="s">
        <v>32</v>
      </c>
      <c r="B12" s="6">
        <v>141284.38</v>
      </c>
      <c r="C12" s="7">
        <v>0.0166</v>
      </c>
      <c r="D12" s="6">
        <v>1250266.4</v>
      </c>
      <c r="E12" s="7">
        <v>0.1469</v>
      </c>
      <c r="F12" s="6">
        <v>1753.8</v>
      </c>
      <c r="G12" s="7">
        <v>0.0002</v>
      </c>
      <c r="H12" s="6">
        <v>0</v>
      </c>
      <c r="I12" s="7">
        <v>0</v>
      </c>
      <c r="J12" s="6">
        <v>8510508.84</v>
      </c>
      <c r="K12" s="7">
        <v>0.1637</v>
      </c>
      <c r="L12" s="6">
        <v>33474.66</v>
      </c>
    </row>
    <row r="13" customHeight="1" spans="1:12">
      <c r="A13" s="5" t="s">
        <v>33</v>
      </c>
      <c r="B13" s="6">
        <v>77416.94</v>
      </c>
      <c r="C13" s="7">
        <v>0.0134</v>
      </c>
      <c r="D13" s="6">
        <v>692591.6</v>
      </c>
      <c r="E13" s="7">
        <v>0.1196</v>
      </c>
      <c r="F13" s="6">
        <v>1847.97</v>
      </c>
      <c r="G13" s="7">
        <v>0.0003</v>
      </c>
      <c r="H13" s="6">
        <v>0</v>
      </c>
      <c r="I13" s="7">
        <v>0</v>
      </c>
      <c r="J13" s="6">
        <v>5793122.21</v>
      </c>
      <c r="K13" s="7">
        <v>0.1332</v>
      </c>
      <c r="L13" s="6">
        <v>26843.24</v>
      </c>
    </row>
    <row r="14" customHeight="1" spans="1:12">
      <c r="A14" s="8" t="s">
        <v>43</v>
      </c>
      <c r="B14" s="9">
        <v>574411.07</v>
      </c>
      <c r="C14" s="10">
        <v>0.0159</v>
      </c>
      <c r="D14" s="9">
        <v>10067701.02</v>
      </c>
      <c r="E14" s="10">
        <v>0.2795</v>
      </c>
      <c r="F14" s="9">
        <v>18711.83</v>
      </c>
      <c r="G14" s="10">
        <v>0.0005</v>
      </c>
      <c r="H14" s="9">
        <v>102.6</v>
      </c>
      <c r="I14" s="10">
        <v>0</v>
      </c>
      <c r="J14" s="9">
        <v>36025506.06</v>
      </c>
      <c r="K14" s="10">
        <v>0.2959</v>
      </c>
      <c r="L14" s="9">
        <v>130322.88</v>
      </c>
    </row>
    <row r="15" customHeight="1" spans="1:1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Height="1" spans="1:1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Height="1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ht="20.25" customHeight="1" spans="1:12">
      <c r="A18" s="1" t="s">
        <v>81</v>
      </c>
      <c r="B18" s="2" t="s">
        <v>74</v>
      </c>
      <c r="C18" s="3" t="s">
        <v>54</v>
      </c>
      <c r="D18" s="2" t="s">
        <v>75</v>
      </c>
      <c r="E18" s="3" t="s">
        <v>54</v>
      </c>
      <c r="F18" s="2" t="s">
        <v>76</v>
      </c>
      <c r="G18" s="3" t="s">
        <v>54</v>
      </c>
      <c r="H18" s="2" t="s">
        <v>77</v>
      </c>
      <c r="I18" s="3" t="s">
        <v>54</v>
      </c>
      <c r="J18" s="1" t="s">
        <v>78</v>
      </c>
      <c r="K18" s="1" t="s">
        <v>79</v>
      </c>
      <c r="L18" s="4" t="s">
        <v>80</v>
      </c>
    </row>
    <row r="19" customHeight="1" spans="1:12">
      <c r="A19" s="5" t="s">
        <v>22</v>
      </c>
      <c r="B19" s="6">
        <v>7981.96</v>
      </c>
      <c r="C19" s="7">
        <v>0.0394</v>
      </c>
      <c r="D19" s="6">
        <v>149276.18</v>
      </c>
      <c r="E19" s="7">
        <v>0.7365</v>
      </c>
      <c r="F19" s="6">
        <v>1193.99</v>
      </c>
      <c r="G19" s="7">
        <v>0.0059</v>
      </c>
      <c r="H19" s="6">
        <v>0</v>
      </c>
      <c r="I19" s="7">
        <v>0</v>
      </c>
      <c r="J19" s="6">
        <v>202688.82</v>
      </c>
      <c r="K19" s="7">
        <v>0.7818</v>
      </c>
      <c r="L19" s="6">
        <v>514.99</v>
      </c>
    </row>
    <row r="20" customHeight="1" spans="1:12">
      <c r="A20" s="5" t="s">
        <v>23</v>
      </c>
      <c r="B20" s="6">
        <v>7931.88</v>
      </c>
      <c r="C20" s="7">
        <v>0.0241</v>
      </c>
      <c r="D20" s="6">
        <v>233696.02</v>
      </c>
      <c r="E20" s="7">
        <v>0.7112</v>
      </c>
      <c r="F20" s="6">
        <v>924</v>
      </c>
      <c r="G20" s="7">
        <v>0.0028</v>
      </c>
      <c r="H20" s="6">
        <v>0</v>
      </c>
      <c r="I20" s="7">
        <v>0</v>
      </c>
      <c r="J20" s="6">
        <v>328582</v>
      </c>
      <c r="K20" s="7">
        <v>0.7382</v>
      </c>
      <c r="L20" s="6">
        <v>39253.79</v>
      </c>
    </row>
    <row r="21" customHeight="1" spans="1:12">
      <c r="A21" s="5" t="s">
        <v>24</v>
      </c>
      <c r="B21" s="6">
        <v>16344.85</v>
      </c>
      <c r="C21" s="7">
        <v>0.0195</v>
      </c>
      <c r="D21" s="6">
        <v>665438.45</v>
      </c>
      <c r="E21" s="7">
        <v>0.7939</v>
      </c>
      <c r="F21" s="6">
        <v>1801.59</v>
      </c>
      <c r="G21" s="7">
        <v>0.0021</v>
      </c>
      <c r="H21" s="6">
        <v>0</v>
      </c>
      <c r="I21" s="7">
        <v>0</v>
      </c>
      <c r="J21" s="6">
        <v>838178.39</v>
      </c>
      <c r="K21" s="7">
        <v>0.8156</v>
      </c>
      <c r="L21" s="6">
        <v>12294.08</v>
      </c>
    </row>
    <row r="22" customHeight="1" spans="1:12">
      <c r="A22" s="5" t="s">
        <v>25</v>
      </c>
      <c r="B22" s="6">
        <v>14033.12</v>
      </c>
      <c r="C22" s="7">
        <v>0.0197</v>
      </c>
      <c r="D22" s="6">
        <v>556256.09</v>
      </c>
      <c r="E22" s="7">
        <v>0.7802</v>
      </c>
      <c r="F22" s="6">
        <v>1186.29</v>
      </c>
      <c r="G22" s="7">
        <v>0.0017</v>
      </c>
      <c r="H22" s="6">
        <v>0</v>
      </c>
      <c r="I22" s="7">
        <v>0</v>
      </c>
      <c r="J22" s="6">
        <v>712957.52</v>
      </c>
      <c r="K22" s="7">
        <v>0.8016</v>
      </c>
      <c r="L22" s="6">
        <v>2625.96</v>
      </c>
    </row>
    <row r="23" customHeight="1" spans="1:12">
      <c r="A23" s="5" t="s">
        <v>26</v>
      </c>
      <c r="B23" s="6">
        <v>13606.09</v>
      </c>
      <c r="C23" s="7">
        <v>0.0169</v>
      </c>
      <c r="D23" s="6">
        <v>648830.33</v>
      </c>
      <c r="E23" s="7">
        <v>0.8081</v>
      </c>
      <c r="F23" s="6">
        <v>744.95</v>
      </c>
      <c r="G23" s="7">
        <v>0.0009</v>
      </c>
      <c r="H23" s="6">
        <v>0</v>
      </c>
      <c r="I23" s="7">
        <v>0</v>
      </c>
      <c r="J23" s="6">
        <v>802910.91</v>
      </c>
      <c r="K23" s="7">
        <v>0.826</v>
      </c>
      <c r="L23" s="6">
        <v>1621.34</v>
      </c>
    </row>
    <row r="24" customHeight="1" spans="1:12">
      <c r="A24" s="5" t="s">
        <v>27</v>
      </c>
      <c r="B24" s="6">
        <v>9579.93</v>
      </c>
      <c r="C24" s="7">
        <v>0.0155</v>
      </c>
      <c r="D24" s="6">
        <v>470922.94</v>
      </c>
      <c r="E24" s="7">
        <v>0.7616</v>
      </c>
      <c r="F24" s="6">
        <v>386.6</v>
      </c>
      <c r="G24" s="7">
        <v>0.0006</v>
      </c>
      <c r="H24" s="6">
        <v>0</v>
      </c>
      <c r="I24" s="7">
        <v>0</v>
      </c>
      <c r="J24" s="6">
        <v>618360.81</v>
      </c>
      <c r="K24" s="7">
        <v>0.7777</v>
      </c>
      <c r="L24" s="6">
        <v>1575.38</v>
      </c>
    </row>
    <row r="25" customHeight="1" spans="1:12">
      <c r="A25" s="5" t="s">
        <v>28</v>
      </c>
      <c r="B25" s="6">
        <v>12791.87</v>
      </c>
      <c r="C25" s="7">
        <v>0.0169</v>
      </c>
      <c r="D25" s="6">
        <v>588669.04</v>
      </c>
      <c r="E25" s="7">
        <v>0.7767</v>
      </c>
      <c r="F25" s="6">
        <v>322.2</v>
      </c>
      <c r="G25" s="7">
        <v>0.0004</v>
      </c>
      <c r="H25" s="6">
        <v>57</v>
      </c>
      <c r="I25" s="7">
        <v>0.0001</v>
      </c>
      <c r="J25" s="6">
        <v>757867.58</v>
      </c>
      <c r="K25" s="7">
        <v>0.7941</v>
      </c>
      <c r="L25" s="6">
        <v>1681.8</v>
      </c>
    </row>
    <row r="26" customHeight="1" spans="1:12">
      <c r="A26" s="5" t="s">
        <v>29</v>
      </c>
      <c r="B26" s="6">
        <v>20135.18</v>
      </c>
      <c r="C26" s="7">
        <v>0.0154</v>
      </c>
      <c r="D26" s="6">
        <v>1034291</v>
      </c>
      <c r="E26" s="7">
        <v>0.7905</v>
      </c>
      <c r="F26" s="6">
        <v>356.99</v>
      </c>
      <c r="G26" s="7">
        <v>0.0003</v>
      </c>
      <c r="H26" s="6">
        <v>0</v>
      </c>
      <c r="I26" s="7">
        <v>0</v>
      </c>
      <c r="J26" s="6">
        <v>1308409.01</v>
      </c>
      <c r="K26" s="7">
        <v>0.8062</v>
      </c>
      <c r="L26" s="6">
        <v>2642.19</v>
      </c>
    </row>
    <row r="27" customHeight="1" spans="1:12">
      <c r="A27" s="5" t="s">
        <v>30</v>
      </c>
      <c r="B27" s="6">
        <v>22447.01</v>
      </c>
      <c r="C27" s="7">
        <v>0.0172</v>
      </c>
      <c r="D27" s="6">
        <v>997035.45</v>
      </c>
      <c r="E27" s="7">
        <v>0.7636</v>
      </c>
      <c r="F27" s="6">
        <v>489.99</v>
      </c>
      <c r="G27" s="7">
        <v>0.0004</v>
      </c>
      <c r="H27" s="6">
        <v>0</v>
      </c>
      <c r="I27" s="7">
        <v>0</v>
      </c>
      <c r="J27" s="6">
        <v>1305767.62</v>
      </c>
      <c r="K27" s="7">
        <v>0.7811</v>
      </c>
      <c r="L27" s="6">
        <v>3701.95</v>
      </c>
    </row>
    <row r="28" customHeight="1" spans="1:12">
      <c r="A28" s="5" t="s">
        <v>31</v>
      </c>
      <c r="B28" s="6">
        <v>39406.7</v>
      </c>
      <c r="C28" s="7">
        <v>0.0175</v>
      </c>
      <c r="D28" s="6">
        <v>1749560.71</v>
      </c>
      <c r="E28" s="7">
        <v>0.777</v>
      </c>
      <c r="F28" s="6">
        <v>1047.16</v>
      </c>
      <c r="G28" s="7">
        <v>0.0005</v>
      </c>
      <c r="H28" s="6">
        <v>0</v>
      </c>
      <c r="I28" s="7">
        <v>0</v>
      </c>
      <c r="J28" s="6">
        <v>2251679.38</v>
      </c>
      <c r="K28" s="7">
        <v>0.795</v>
      </c>
      <c r="L28" s="6">
        <v>6537.59</v>
      </c>
    </row>
    <row r="29" customHeight="1" spans="1:12">
      <c r="A29" s="5" t="s">
        <v>32</v>
      </c>
      <c r="B29" s="6">
        <v>183167.92</v>
      </c>
      <c r="C29" s="7">
        <v>0.0246</v>
      </c>
      <c r="D29" s="6">
        <v>4658344.89</v>
      </c>
      <c r="E29" s="7">
        <v>0.6269</v>
      </c>
      <c r="F29" s="6">
        <v>3070.84</v>
      </c>
      <c r="G29" s="7">
        <v>0.0004</v>
      </c>
      <c r="H29" s="6">
        <v>57</v>
      </c>
      <c r="I29" s="7">
        <v>0</v>
      </c>
      <c r="J29" s="6">
        <v>7430814.08</v>
      </c>
      <c r="K29" s="7">
        <v>0.652</v>
      </c>
      <c r="L29" s="6">
        <v>7208.97</v>
      </c>
    </row>
    <row r="30" customHeight="1" spans="1:12">
      <c r="A30" s="5" t="s">
        <v>33</v>
      </c>
      <c r="B30" s="6">
        <v>156174.5</v>
      </c>
      <c r="C30" s="7">
        <v>0.0293</v>
      </c>
      <c r="D30" s="6">
        <v>2126738.93</v>
      </c>
      <c r="E30" s="7">
        <v>0.3991</v>
      </c>
      <c r="F30" s="6">
        <v>6186.47</v>
      </c>
      <c r="G30" s="7">
        <v>0.0012</v>
      </c>
      <c r="H30" s="6">
        <v>108</v>
      </c>
      <c r="I30" s="7">
        <v>0</v>
      </c>
      <c r="J30" s="6">
        <v>5328364.13</v>
      </c>
      <c r="K30" s="7">
        <v>0.4296</v>
      </c>
      <c r="L30" s="6">
        <v>4475.6</v>
      </c>
    </row>
    <row r="31" customHeight="1" spans="1:12">
      <c r="A31" s="8" t="s">
        <v>43</v>
      </c>
      <c r="B31" s="9">
        <v>503601.01</v>
      </c>
      <c r="C31" s="10">
        <v>0.023</v>
      </c>
      <c r="D31" s="9">
        <v>13879060.03</v>
      </c>
      <c r="E31" s="10">
        <v>0.6341</v>
      </c>
      <c r="F31" s="9">
        <v>17711.07</v>
      </c>
      <c r="G31" s="10">
        <v>0.0008</v>
      </c>
      <c r="H31" s="9">
        <v>222</v>
      </c>
      <c r="I31" s="10">
        <v>0</v>
      </c>
      <c r="J31" s="9">
        <v>21886580.25</v>
      </c>
      <c r="K31" s="10">
        <v>0.658</v>
      </c>
      <c r="L31" s="9">
        <v>84133.64</v>
      </c>
    </row>
    <row r="32" customHeight="1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customHeight="1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customHeight="1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ht="20.25" customHeight="1" spans="1:12">
      <c r="A35" s="1" t="s">
        <v>82</v>
      </c>
      <c r="B35" s="2" t="s">
        <v>74</v>
      </c>
      <c r="C35" s="3" t="s">
        <v>54</v>
      </c>
      <c r="D35" s="2" t="s">
        <v>75</v>
      </c>
      <c r="E35" s="3" t="s">
        <v>54</v>
      </c>
      <c r="F35" s="2" t="s">
        <v>76</v>
      </c>
      <c r="G35" s="3" t="s">
        <v>54</v>
      </c>
      <c r="H35" s="2" t="s">
        <v>77</v>
      </c>
      <c r="I35" s="3" t="s">
        <v>54</v>
      </c>
      <c r="J35" s="1" t="s">
        <v>78</v>
      </c>
      <c r="K35" s="1" t="s">
        <v>79</v>
      </c>
      <c r="L35" s="4" t="s">
        <v>80</v>
      </c>
    </row>
    <row r="36" customHeight="1" spans="1:12">
      <c r="A36" s="5" t="s">
        <v>22</v>
      </c>
      <c r="B36" s="6">
        <v>7674.46</v>
      </c>
      <c r="C36" s="7">
        <v>0.0474</v>
      </c>
      <c r="D36" s="6">
        <v>58358.72</v>
      </c>
      <c r="E36" s="7">
        <v>0.3607</v>
      </c>
      <c r="F36" s="6">
        <v>0</v>
      </c>
      <c r="G36" s="7">
        <v>0</v>
      </c>
      <c r="H36" s="6">
        <v>0</v>
      </c>
      <c r="I36" s="7">
        <v>0</v>
      </c>
      <c r="J36" s="6">
        <v>161812.41</v>
      </c>
      <c r="K36" s="7">
        <v>0.4081</v>
      </c>
      <c r="L36" s="6">
        <v>201.2</v>
      </c>
    </row>
    <row r="37" customHeight="1" spans="1:12">
      <c r="A37" s="5" t="s">
        <v>23</v>
      </c>
      <c r="B37" s="6">
        <v>3959.1</v>
      </c>
      <c r="C37" s="7">
        <v>0.0358</v>
      </c>
      <c r="D37" s="6">
        <v>17742.92</v>
      </c>
      <c r="E37" s="7">
        <v>0.1606</v>
      </c>
      <c r="F37" s="6">
        <v>160</v>
      </c>
      <c r="G37" s="7">
        <v>0.0014</v>
      </c>
      <c r="H37" s="6">
        <v>0</v>
      </c>
      <c r="I37" s="7">
        <v>0</v>
      </c>
      <c r="J37" s="6">
        <v>110492.12</v>
      </c>
      <c r="K37" s="7">
        <v>0.1979</v>
      </c>
      <c r="L37" s="6">
        <v>333.99</v>
      </c>
    </row>
    <row r="38" customHeight="1" spans="1:12">
      <c r="A38" s="5" t="s">
        <v>24</v>
      </c>
      <c r="B38" s="6">
        <v>4533.97</v>
      </c>
      <c r="C38" s="7">
        <v>0.0276</v>
      </c>
      <c r="D38" s="6">
        <v>28725.65</v>
      </c>
      <c r="E38" s="7">
        <v>0.1749</v>
      </c>
      <c r="F38" s="6">
        <v>1081.48</v>
      </c>
      <c r="G38" s="7">
        <v>0.0066</v>
      </c>
      <c r="H38" s="6">
        <v>0</v>
      </c>
      <c r="I38" s="7">
        <v>0</v>
      </c>
      <c r="J38" s="6">
        <v>164211.07</v>
      </c>
      <c r="K38" s="7">
        <v>0.2091</v>
      </c>
      <c r="L38" s="6">
        <v>13568.78</v>
      </c>
    </row>
    <row r="39" customHeight="1" spans="1:12">
      <c r="A39" s="5" t="s">
        <v>25</v>
      </c>
      <c r="B39" s="6">
        <v>5097.91</v>
      </c>
      <c r="C39" s="7">
        <v>0.0144</v>
      </c>
      <c r="D39" s="6">
        <v>204508.11</v>
      </c>
      <c r="E39" s="7">
        <v>0.5793</v>
      </c>
      <c r="F39" s="6">
        <v>897</v>
      </c>
      <c r="G39" s="7">
        <v>0.0025</v>
      </c>
      <c r="H39" s="6">
        <v>0</v>
      </c>
      <c r="I39" s="7">
        <v>0</v>
      </c>
      <c r="J39" s="6">
        <v>353053.15</v>
      </c>
      <c r="K39" s="7">
        <v>0.5962</v>
      </c>
      <c r="L39" s="6">
        <v>688</v>
      </c>
    </row>
    <row r="40" customHeight="1" spans="1:12">
      <c r="A40" s="5" t="s">
        <v>26</v>
      </c>
      <c r="B40" s="6">
        <v>6731.39</v>
      </c>
      <c r="C40" s="7">
        <v>0.0183</v>
      </c>
      <c r="D40" s="6">
        <v>195869.54</v>
      </c>
      <c r="E40" s="7">
        <v>0.5339</v>
      </c>
      <c r="F40" s="6">
        <v>972.99</v>
      </c>
      <c r="G40" s="7">
        <v>0.0027</v>
      </c>
      <c r="H40" s="6">
        <v>0</v>
      </c>
      <c r="I40" s="7">
        <v>0</v>
      </c>
      <c r="J40" s="6">
        <v>366896.05</v>
      </c>
      <c r="K40" s="7">
        <v>0.5549</v>
      </c>
      <c r="L40" s="6">
        <v>513</v>
      </c>
    </row>
    <row r="41" customHeight="1" spans="1:12">
      <c r="A41" s="5" t="s">
        <v>27</v>
      </c>
      <c r="B41" s="6">
        <v>4408.42</v>
      </c>
      <c r="C41" s="7">
        <v>0.0178</v>
      </c>
      <c r="D41" s="6">
        <v>144290.37</v>
      </c>
      <c r="E41" s="7">
        <v>0.5832</v>
      </c>
      <c r="F41" s="6">
        <v>741.98</v>
      </c>
      <c r="G41" s="7">
        <v>0.003</v>
      </c>
      <c r="H41" s="6">
        <v>0</v>
      </c>
      <c r="I41" s="7">
        <v>0</v>
      </c>
      <c r="J41" s="6">
        <v>247400.14</v>
      </c>
      <c r="K41" s="7">
        <v>0.604</v>
      </c>
      <c r="L41" s="6">
        <v>563</v>
      </c>
    </row>
    <row r="42" customHeight="1" spans="1:12">
      <c r="A42" s="5" t="s">
        <v>28</v>
      </c>
      <c r="B42" s="6">
        <v>6484.97</v>
      </c>
      <c r="C42" s="7">
        <v>0.0193</v>
      </c>
      <c r="D42" s="6">
        <v>239550.96</v>
      </c>
      <c r="E42" s="7">
        <v>0.7113</v>
      </c>
      <c r="F42" s="6">
        <v>515.99</v>
      </c>
      <c r="G42" s="7">
        <v>0.0015</v>
      </c>
      <c r="H42" s="6">
        <v>0</v>
      </c>
      <c r="I42" s="7">
        <v>0</v>
      </c>
      <c r="J42" s="6">
        <v>336771.73</v>
      </c>
      <c r="K42" s="7">
        <v>0.7321</v>
      </c>
      <c r="L42" s="6">
        <v>963.99</v>
      </c>
    </row>
    <row r="43" customHeight="1" spans="1:12">
      <c r="A43" s="5" t="s">
        <v>29</v>
      </c>
      <c r="B43" s="6">
        <v>8000.05</v>
      </c>
      <c r="C43" s="7">
        <v>0.0171</v>
      </c>
      <c r="D43" s="6">
        <v>277945.98</v>
      </c>
      <c r="E43" s="7">
        <v>0.5931</v>
      </c>
      <c r="F43" s="6">
        <v>636.99</v>
      </c>
      <c r="G43" s="7">
        <v>0.0014</v>
      </c>
      <c r="H43" s="6">
        <v>0</v>
      </c>
      <c r="I43" s="7">
        <v>0</v>
      </c>
      <c r="J43" s="6">
        <v>468615.63</v>
      </c>
      <c r="K43" s="7">
        <v>0.6116</v>
      </c>
      <c r="L43" s="6">
        <v>82107.75</v>
      </c>
    </row>
    <row r="44" customHeight="1" spans="1:12">
      <c r="A44" s="5" t="s">
        <v>30</v>
      </c>
      <c r="B44" s="6">
        <v>9348.43</v>
      </c>
      <c r="C44" s="7">
        <v>0.0254</v>
      </c>
      <c r="D44" s="6">
        <v>246155.37</v>
      </c>
      <c r="E44" s="7">
        <v>0.6691</v>
      </c>
      <c r="F44" s="6">
        <v>1128.99</v>
      </c>
      <c r="G44" s="7">
        <v>0.0031</v>
      </c>
      <c r="H44" s="6">
        <v>27</v>
      </c>
      <c r="I44" s="7">
        <v>0.0001</v>
      </c>
      <c r="J44" s="6">
        <v>367902.97</v>
      </c>
      <c r="K44" s="7">
        <v>0.6976</v>
      </c>
      <c r="L44" s="6">
        <v>449.01</v>
      </c>
    </row>
    <row r="45" customHeight="1" spans="1:12">
      <c r="A45" s="5" t="s">
        <v>31</v>
      </c>
      <c r="B45" s="6">
        <v>9553.15</v>
      </c>
      <c r="C45" s="7">
        <v>0.0277</v>
      </c>
      <c r="D45" s="6">
        <v>251816.27</v>
      </c>
      <c r="E45" s="7">
        <v>0.7301</v>
      </c>
      <c r="F45" s="6">
        <v>964.99</v>
      </c>
      <c r="G45" s="7">
        <v>0.0028</v>
      </c>
      <c r="H45" s="6">
        <v>0</v>
      </c>
      <c r="I45" s="7">
        <v>0</v>
      </c>
      <c r="J45" s="6">
        <v>344897.44</v>
      </c>
      <c r="K45" s="7">
        <v>0.7606</v>
      </c>
      <c r="L45" s="6">
        <v>1566.96</v>
      </c>
    </row>
    <row r="46" customHeight="1" spans="1:12">
      <c r="A46" s="5" t="s">
        <v>32</v>
      </c>
      <c r="B46" s="6">
        <v>35637.96</v>
      </c>
      <c r="C46" s="7">
        <v>0.0424</v>
      </c>
      <c r="D46" s="6">
        <v>589036.69</v>
      </c>
      <c r="E46" s="7">
        <v>0.7001</v>
      </c>
      <c r="F46" s="6">
        <v>2446.09</v>
      </c>
      <c r="G46" s="7">
        <v>0.0029</v>
      </c>
      <c r="H46" s="6">
        <v>0</v>
      </c>
      <c r="I46" s="7">
        <v>0</v>
      </c>
      <c r="J46" s="6">
        <v>841316.9</v>
      </c>
      <c r="K46" s="7">
        <v>0.7454</v>
      </c>
      <c r="L46" s="6">
        <v>2251.39</v>
      </c>
    </row>
    <row r="47" customHeight="1" spans="1:12">
      <c r="A47" s="5" t="s">
        <v>33</v>
      </c>
      <c r="B47" s="6">
        <v>29793.74</v>
      </c>
      <c r="C47" s="7">
        <v>0.0535</v>
      </c>
      <c r="D47" s="6">
        <v>303156.16</v>
      </c>
      <c r="E47" s="7">
        <v>0.5442</v>
      </c>
      <c r="F47" s="6">
        <v>3330.56</v>
      </c>
      <c r="G47" s="7">
        <v>0.006</v>
      </c>
      <c r="H47" s="6">
        <v>0</v>
      </c>
      <c r="I47" s="7">
        <v>0</v>
      </c>
      <c r="J47" s="6">
        <v>557061.07</v>
      </c>
      <c r="K47" s="7">
        <v>0.6037</v>
      </c>
      <c r="L47" s="6">
        <v>30401.46</v>
      </c>
    </row>
    <row r="48" customHeight="1" spans="1:12">
      <c r="A48" s="8" t="s">
        <v>43</v>
      </c>
      <c r="B48" s="9">
        <v>131223.55</v>
      </c>
      <c r="C48" s="10">
        <v>0.0304</v>
      </c>
      <c r="D48" s="9">
        <v>2557156.74</v>
      </c>
      <c r="E48" s="10">
        <v>0.5919</v>
      </c>
      <c r="F48" s="9">
        <v>12877.06</v>
      </c>
      <c r="G48" s="10">
        <v>0.003</v>
      </c>
      <c r="H48" s="9">
        <v>27</v>
      </c>
      <c r="I48" s="10">
        <v>0</v>
      </c>
      <c r="J48" s="9">
        <v>4320430.68</v>
      </c>
      <c r="K48" s="10">
        <v>0.6252</v>
      </c>
      <c r="L48" s="9">
        <v>133608.53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2025年销售额数据</vt:lpstr>
      <vt:lpstr>销售额月度数据汇总</vt:lpstr>
      <vt:lpstr>SEO销售额汇总</vt:lpstr>
      <vt:lpstr>SEO月度流量数据汇总</vt:lpstr>
      <vt:lpstr>SEO GSC月度点击数据汇总</vt:lpstr>
      <vt:lpstr>EN站 SEO销售额数据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WPS_1178174017</cp:lastModifiedBy>
  <dcterms:created xsi:type="dcterms:W3CDTF">2006-09-16T00:00:00Z</dcterms:created>
  <dcterms:modified xsi:type="dcterms:W3CDTF">2026-07-24T03:09:22Z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A5E5B8E7035E424E814C9862087203F5_12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